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filterPrivacy="1" codeName="ThisWorkbook"/>
  <xr:revisionPtr revIDLastSave="0" documentId="13_ncr:1_{72734D4A-19CA-4673-ABAB-AABBE08E9C5F}" xr6:coauthVersionLast="47" xr6:coauthVersionMax="47" xr10:uidLastSave="{00000000-0000-0000-0000-000000000000}"/>
  <bookViews>
    <workbookView xWindow="-110" yWindow="-110" windowWidth="19420" windowHeight="10300" xr2:uid="{00000000-000D-0000-FFFF-FFFF00000000}"/>
  </bookViews>
  <sheets>
    <sheet name="ProjectSchedule" sheetId="11" r:id="rId1"/>
  </sheets>
  <definedNames>
    <definedName name="Display_Week">ProjectSchedule!$E$4</definedName>
    <definedName name="_xlnm.Print_Titles" localSheetId="0">ProjectSchedule!$4:$6</definedName>
    <definedName name="Project_Start">ProjectSchedule!$E$3</definedName>
    <definedName name="task_end" localSheetId="0">ProjectSchedule!$F1</definedName>
    <definedName name="task_progress" localSheetId="0">ProjectSchedule!$D1</definedName>
    <definedName name="task_start" localSheetId="0">ProjectSchedule!$E1</definedName>
    <definedName name="today"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7" i="11" l="1"/>
  <c r="E3" i="11" l="1"/>
  <c r="F15" i="11" l="1"/>
  <c r="E15" i="11"/>
  <c r="E9" i="11"/>
  <c r="F14" i="11"/>
  <c r="F12" i="11"/>
  <c r="F13" i="11"/>
  <c r="F10" i="11"/>
  <c r="F11" i="11"/>
  <c r="F9" i="11"/>
  <c r="E13" i="11"/>
  <c r="E14" i="11"/>
  <c r="E11" i="11"/>
  <c r="E17" i="11" s="1"/>
  <c r="F17" i="11" s="1"/>
  <c r="E12" i="11"/>
  <c r="E10" i="11"/>
  <c r="I5" i="11"/>
  <c r="H39" i="11"/>
  <c r="H33" i="11"/>
  <c r="H16" i="11"/>
  <c r="H8" i="11"/>
  <c r="E18" i="11" l="1"/>
  <c r="F18" i="11" s="1"/>
  <c r="H18" i="11" s="1"/>
  <c r="E23" i="11"/>
  <c r="E28" i="11"/>
  <c r="E19" i="11"/>
  <c r="H9" i="11"/>
  <c r="I6" i="11"/>
  <c r="F19" i="11" l="1"/>
  <c r="F20" i="11" s="1"/>
  <c r="F21" i="11" s="1"/>
  <c r="F22" i="11" s="1"/>
  <c r="E20" i="11"/>
  <c r="H10" i="11"/>
  <c r="H15" i="11"/>
  <c r="J5" i="11"/>
  <c r="K5" i="11" s="1"/>
  <c r="L5" i="11" s="1"/>
  <c r="M5" i="11" s="1"/>
  <c r="N5" i="11" s="1"/>
  <c r="O5" i="11" s="1"/>
  <c r="P5" i="11" s="1"/>
  <c r="I4" i="11"/>
  <c r="E21" i="11" l="1"/>
  <c r="H19" i="11"/>
  <c r="H11" i="11"/>
  <c r="H12" i="11"/>
  <c r="P4" i="11"/>
  <c r="Q5" i="11"/>
  <c r="R5" i="11" s="1"/>
  <c r="S5" i="11" s="1"/>
  <c r="T5" i="11" s="1"/>
  <c r="U5" i="11" s="1"/>
  <c r="V5" i="11" s="1"/>
  <c r="W5" i="11" s="1"/>
  <c r="J6" i="11"/>
  <c r="E22" i="11" l="1"/>
  <c r="H21" i="11"/>
  <c r="H20" i="11"/>
  <c r="W4" i="11"/>
  <c r="X5" i="11"/>
  <c r="Y5" i="11" s="1"/>
  <c r="Z5" i="11" s="1"/>
  <c r="AA5" i="11" s="1"/>
  <c r="AB5" i="11" s="1"/>
  <c r="AC5" i="11" s="1"/>
  <c r="AD5" i="11" s="1"/>
  <c r="K6" i="11"/>
  <c r="F23" i="11" l="1"/>
  <c r="F24" i="11" s="1"/>
  <c r="F25" i="11" s="1"/>
  <c r="F26" i="11" s="1"/>
  <c r="E24" i="11"/>
  <c r="AE5" i="11"/>
  <c r="AF5" i="11" s="1"/>
  <c r="AG5" i="11" s="1"/>
  <c r="AH5" i="11" s="1"/>
  <c r="AI5" i="11" s="1"/>
  <c r="AJ5" i="11" s="1"/>
  <c r="AD4" i="11"/>
  <c r="L6" i="11"/>
  <c r="H23" i="11" l="1"/>
  <c r="F27" i="11"/>
  <c r="E25" i="11"/>
  <c r="H24" i="11"/>
  <c r="AK5" i="11"/>
  <c r="AL5" i="11" s="1"/>
  <c r="AM5" i="11" s="1"/>
  <c r="AN5" i="11" s="1"/>
  <c r="AO5" i="11" s="1"/>
  <c r="AP5" i="11" s="1"/>
  <c r="AQ5" i="11" s="1"/>
  <c r="M6" i="11"/>
  <c r="E26" i="11" l="1"/>
  <c r="H25" i="11"/>
  <c r="AR5" i="11"/>
  <c r="AS5" i="11" s="1"/>
  <c r="AK4" i="11"/>
  <c r="N6" i="11"/>
  <c r="E27" i="11" l="1"/>
  <c r="H26" i="11"/>
  <c r="AT5" i="11"/>
  <c r="AS6" i="11"/>
  <c r="AR4" i="11"/>
  <c r="O6" i="11"/>
  <c r="E29" i="11" l="1"/>
  <c r="F28" i="11"/>
  <c r="F29" i="11" s="1"/>
  <c r="F30" i="11" s="1"/>
  <c r="F31" i="11" s="1"/>
  <c r="AU5" i="11"/>
  <c r="AT6" i="11"/>
  <c r="H28" i="11" l="1"/>
  <c r="F32" i="11"/>
  <c r="E30" i="11"/>
  <c r="H29" i="11"/>
  <c r="AV5" i="11"/>
  <c r="AU6" i="11"/>
  <c r="P6" i="11"/>
  <c r="Q6" i="11"/>
  <c r="E34" i="11" l="1"/>
  <c r="E31" i="11"/>
  <c r="H30" i="11"/>
  <c r="AW5" i="11"/>
  <c r="AV6" i="11"/>
  <c r="R6" i="11"/>
  <c r="F38" i="11" l="1"/>
  <c r="E40" i="11" s="1"/>
  <c r="E35" i="11"/>
  <c r="E36" i="11" s="1"/>
  <c r="F36" i="11"/>
  <c r="F37" i="11"/>
  <c r="F34" i="11"/>
  <c r="H34" i="11" s="1"/>
  <c r="F35" i="11"/>
  <c r="E32" i="11"/>
  <c r="H31" i="11"/>
  <c r="AX5" i="11"/>
  <c r="AY5" i="11" s="1"/>
  <c r="AW6" i="11"/>
  <c r="S6" i="11"/>
  <c r="E47" i="11" l="1"/>
  <c r="F47" i="11" s="1"/>
  <c r="E48" i="11"/>
  <c r="F48" i="11" s="1"/>
  <c r="E44" i="11"/>
  <c r="F44" i="11" s="1"/>
  <c r="E45" i="11"/>
  <c r="F45" i="11" s="1"/>
  <c r="E42" i="11"/>
  <c r="E49" i="11" s="1"/>
  <c r="F49" i="11" s="1"/>
  <c r="E50" i="11" s="1"/>
  <c r="E55" i="11" s="1"/>
  <c r="F40" i="11"/>
  <c r="H40" i="11" s="1"/>
  <c r="E41" i="11"/>
  <c r="E37" i="11"/>
  <c r="H35" i="11"/>
  <c r="H36" i="11"/>
  <c r="AY6" i="11"/>
  <c r="AZ5" i="11"/>
  <c r="AY4" i="11"/>
  <c r="AX6" i="11"/>
  <c r="T6" i="11"/>
  <c r="E51" i="11" l="1"/>
  <c r="F50" i="11"/>
  <c r="H50" i="11" s="1"/>
  <c r="F42" i="11"/>
  <c r="H42" i="11" s="1"/>
  <c r="E46" i="11"/>
  <c r="F46" i="11" s="1"/>
  <c r="E43" i="11"/>
  <c r="F43" i="11" s="1"/>
  <c r="H48" i="11"/>
  <c r="H47" i="11"/>
  <c r="H44" i="11"/>
  <c r="H45" i="11"/>
  <c r="F41" i="11"/>
  <c r="H41" i="11" s="1"/>
  <c r="E38" i="11"/>
  <c r="H37" i="11"/>
  <c r="BA5" i="11"/>
  <c r="AZ6" i="11"/>
  <c r="U6" i="11"/>
  <c r="H46" i="11" l="1"/>
  <c r="H43" i="11"/>
  <c r="E52" i="11"/>
  <c r="F51" i="11"/>
  <c r="H51" i="11" s="1"/>
  <c r="H49" i="11"/>
  <c r="H38" i="11"/>
  <c r="BA6" i="11"/>
  <c r="BB5" i="11"/>
  <c r="V6" i="11"/>
  <c r="E53" i="11" l="1"/>
  <c r="E54" i="11" s="1"/>
  <c r="F52" i="11"/>
  <c r="H52" i="11" s="1"/>
  <c r="BB6" i="11"/>
  <c r="BC5" i="11"/>
  <c r="W6" i="11"/>
  <c r="F54" i="11" l="1"/>
  <c r="F53" i="11"/>
  <c r="H53" i="11" s="1"/>
  <c r="BC6" i="11"/>
  <c r="BD5" i="11"/>
  <c r="X6" i="11"/>
  <c r="H54" i="11" l="1"/>
  <c r="BE5" i="11"/>
  <c r="BD6" i="11"/>
  <c r="Y6" i="11"/>
  <c r="F55" i="11" l="1"/>
  <c r="H55" i="11" s="1"/>
  <c r="BE6" i="1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<sst xmlns="http://schemas.openxmlformats.org/spreadsheetml/2006/main" count="117" uniqueCount="73">
  <si>
    <t>Project Start:</t>
  </si>
  <si>
    <t>PROGRESS</t>
  </si>
  <si>
    <t>ASSIGNED
TO</t>
  </si>
  <si>
    <t>START</t>
  </si>
  <si>
    <t>END</t>
  </si>
  <si>
    <t>DAYS</t>
  </si>
  <si>
    <t>Display Week:</t>
  </si>
  <si>
    <t>TASK</t>
  </si>
  <si>
    <t>Enter Company Name in cell B2.</t>
  </si>
  <si>
    <t>Sample phase title block</t>
  </si>
  <si>
    <t>Create a Project Schedule in this worksheet.
Enter title of this project in cell B1. 
Information about how to use this worksheet, including instructions for screen readers and the author of this workbook is in the About worksheet.
Continue navigating down column A to hear further instructions.</t>
  </si>
  <si>
    <t>The Display Week in cell E4  represents the starting week to display in the project schedule in cell I4. The project start date is considered Week 1. To change the display week, simply enter a new week number in cell E4.
The starting date for each week, starting with the display week from cell E4, starts in cell I4 and is auto calculated. There are 8 weeks represented in this view from cell I4 through cell BF4.
You should not modify these cells.
Display Week: label is in cell C4.</t>
  </si>
  <si>
    <t>Cells I5 through BL5 contain the day number for the week represented in the cell block above each date cell and are auto calculated.
You should not modify these cells.
Today's date is outlined in Red (hex #AD3815) from today's date in row 5 through the entire date column to the end of the project schedule.</t>
  </si>
  <si>
    <t>This row contains headers for the project schedule that follows below them. 
Navigate from B6 through BL 6 to hear the content. The first letter of each day of the week for the date above that heading, starts in cell I6 and continues through cell BL6.
All project timeline charting is auto generated based on the start and end dates entered, using conditional formats.
Do not modify content in cells within columns after column I starting with cell I7.</t>
  </si>
  <si>
    <t>Cell B8 contains the Phase 1 sample title. 
Enter a new Title in cell B8.
Enter a name to assign the phase to, if it applies for your project, in cell C8.
Enter Progress for the entire phase, if it applies for your project, in cell D8.
Enter the start and end dates for the entire phase, if it applies for your project, in cells E8 and F8. 
The Gantt chart will automatically fill in the appropriate dates and shade according to the progress entered.
To delete the phase and work only from tasks, simply delete this row.</t>
  </si>
  <si>
    <t>Rows 10 through 13 repeat the pattern from row 9. 
Repeat the instructions from cell A9 for all task rows in this worksheet. Overwrite any sample data.
A sample of another phase starts in cell A14. 
Continue entering tasks in cells A10 through A13 or go to cell A14 to learn more.</t>
  </si>
  <si>
    <t>The cell at right contains the Phase 2 sample title. 
You can create a new phase at any time within column B. This project schedule does not require phases. To remove the phase, simply delete the row.
To create a new phase block in this row, enter a new Title in cell at right.
To continue adding tasks to the phase above, enter a new row above this one and fill in the task data as in cell A9's instruction.
Update the Phase details in cell at right based on cell A8's instruction.
Continue navigating down column A cells to learn more.
If you haven't added any new rows in this worksheet, you will find 2 additional sample phase blocks have been created for you in cells B20 and B26. Otherwise, navigate through column A cells to find the additional blocks. 
Repeat the instructions from cells A8 and A9 whenever you need to.</t>
  </si>
  <si>
    <t>Enter the name of the Project Lead in cell B3. Enter the Project Start date in cell E3. Project Start: label is in cell C3.</t>
  </si>
  <si>
    <t xml:space="preserve">Do not delete this row. This row is hidden to preserve a formula that is used to highlight the current day within the project schedule. </t>
  </si>
  <si>
    <t xml:space="preserve">Cell B9 contains the sample task "Task 1." 
Enter a new task name in cell B9.
Enter a person to assign the task to in cell C9.
Enter progress of the task in cell D9. A progress bar appears in the cell and is shaded according to the number in the cell. For example, 50 percent progress would shade half of the cell.
Enter task start date in cell E9.
Enter task end date in cell F9.
A status bar shaded for the dates entered appears in blocks starting from cell I9 through BL9. </t>
  </si>
  <si>
    <t>Project Proposal</t>
  </si>
  <si>
    <t>First Milestone</t>
  </si>
  <si>
    <t>Second Milestone</t>
  </si>
  <si>
    <t>Third Milestone</t>
  </si>
  <si>
    <t>Fourth Milestone</t>
  </si>
  <si>
    <t>Edge cases</t>
  </si>
  <si>
    <t>Expected complexities</t>
  </si>
  <si>
    <t>Problem description and example</t>
  </si>
  <si>
    <t>Dataset plans</t>
  </si>
  <si>
    <t>Programming Language</t>
  </si>
  <si>
    <t>Timeline and separation of tasks</t>
  </si>
  <si>
    <t>Unexpected cases and difficulties</t>
  </si>
  <si>
    <t>Prashant</t>
  </si>
  <si>
    <t>Lance</t>
  </si>
  <si>
    <t>Chad</t>
  </si>
  <si>
    <t>All</t>
  </si>
  <si>
    <t>Abstract</t>
  </si>
  <si>
    <t>Problem formulation for KMP algorithm</t>
  </si>
  <si>
    <t>Pseudo-code for KMP algorithm</t>
  </si>
  <si>
    <t>Analysis of  KMP algorithm</t>
  </si>
  <si>
    <t>Proof of correctness for KMP algorithm</t>
  </si>
  <si>
    <t>Proof of running time for KMP algorithm</t>
  </si>
  <si>
    <t>Problem formulation for LCSS algorithm</t>
  </si>
  <si>
    <t>Pseudo-code for LCSS algorithm</t>
  </si>
  <si>
    <t>Analysis of LCSS algorithm</t>
  </si>
  <si>
    <t>Proof of correctness for LCSS algorithm</t>
  </si>
  <si>
    <t>Proof of running time for LCSS algorithm</t>
  </si>
  <si>
    <t>Problem formulation for Rabin-Karp fingerprints algorithm</t>
  </si>
  <si>
    <t>Pseudo-code for Rabin-Karp fingerprints algorithm</t>
  </si>
  <si>
    <t>Analysis of Rabin-Karp fingerprints algorithm</t>
  </si>
  <si>
    <t>Proof of correctness for Rabin-Karp fingerprints algorithm</t>
  </si>
  <si>
    <t>Proof of running time for Rabin-Karp fingerprints algorithm</t>
  </si>
  <si>
    <t>#getPlagiarized – The Plagiarism Detector Algorithms</t>
  </si>
  <si>
    <t>COSC 320</t>
  </si>
  <si>
    <t>Lance Rogan, Chad Lantz, Prashant Dutt</t>
  </si>
  <si>
    <t>Additional run time proofs</t>
  </si>
  <si>
    <t>Additional detailed algorithm analysis and proofs</t>
  </si>
  <si>
    <t>Additional algorithm correctness and proofs</t>
  </si>
  <si>
    <t>Description of data structures chosen and rationales for all algorithms</t>
  </si>
  <si>
    <t>Abstract and other documentation</t>
  </si>
  <si>
    <t>Implementation of KMP algorithm</t>
  </si>
  <si>
    <t>Test cases for KMP algorithm</t>
  </si>
  <si>
    <t>Plots for KMP algorithm</t>
  </si>
  <si>
    <t>Implementation of LCSS algorithm</t>
  </si>
  <si>
    <t>Test cases for LCSS algorithm</t>
  </si>
  <si>
    <t>Plots for LCSS algorithm</t>
  </si>
  <si>
    <t>Implementation of Rabin-Karp algorithm</t>
  </si>
  <si>
    <t>Test cases for Rabin-Karp algorithm</t>
  </si>
  <si>
    <t>Plots for Rabin-Karp algorithm</t>
  </si>
  <si>
    <t>Implementation of all algorithms</t>
  </si>
  <si>
    <t>All test cases for all algorithms</t>
  </si>
  <si>
    <t>All plots for all algorithms</t>
  </si>
  <si>
    <t>10-minute video demo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</si>
</sst>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m/d/yy;@"/>
    <numFmt numFmtId="166" formatCode="ddd\,\ m/d/yyyy"/>
    <numFmt numFmtId="167" formatCode="mmm\ d\,\ yyyy"/>
    <numFmt numFmtId="168" formatCode="d"/>
  </numFmts>
  <fonts count="15"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b/>
      <sz val="9"/>
      <color theme="0"/>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sz val="11"/>
      <color theme="0"/>
      <name val="Calibri"/>
      <family val="2"/>
      <scheme val="minor"/>
    </font>
    <font>
      <b/>
      <sz val="11"/>
      <name val="Calibri"/>
      <family val="2"/>
      <scheme val="minor"/>
    </font>
    <font>
      <sz val="10"/>
      <name val="Arial"/>
      <family val="2"/>
    </font>
  </fonts>
  <fills count="14">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9" tint="0.79998168889431442"/>
        <bgColor indexed="64"/>
      </patternFill>
    </fill>
  </fills>
  <borders count="11">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s>
  <cellStyleXfs count="13">
    <xf numFmtId="0" fontId="0" fillId="0" borderId="0"/>
    <xf numFmtId="0" fontId="3" fillId="0" borderId="0" applyNumberFormat="0" applyFill="0" applyBorder="0" applyAlignment="0" applyProtection="0">
      <alignment vertical="top"/>
      <protection locked="0"/>
    </xf>
    <xf numFmtId="9" fontId="7" fillId="0" borderId="0" applyFont="0" applyFill="0" applyBorder="0" applyAlignment="0" applyProtection="0"/>
    <xf numFmtId="0" fontId="12" fillId="0" borderId="0"/>
    <xf numFmtId="164" fontId="7" fillId="0" borderId="3" applyFont="0" applyFill="0" applyAlignment="0" applyProtection="0"/>
    <xf numFmtId="0" fontId="11" fillId="0" borderId="0" applyNumberFormat="0" applyFill="0" applyBorder="0" applyAlignment="0" applyProtection="0"/>
    <xf numFmtId="0" fontId="8" fillId="0" borderId="0" applyNumberFormat="0" applyFill="0" applyAlignment="0" applyProtection="0"/>
    <xf numFmtId="0" fontId="8" fillId="0" borderId="0" applyNumberFormat="0" applyFill="0" applyProtection="0">
      <alignment vertical="top"/>
    </xf>
    <xf numFmtId="0" fontId="7" fillId="0" borderId="0" applyNumberFormat="0" applyFill="0" applyProtection="0">
      <alignment horizontal="right" indent="1"/>
    </xf>
    <xf numFmtId="166" fontId="7" fillId="0" borderId="3">
      <alignment horizontal="center" vertical="center"/>
    </xf>
    <xf numFmtId="165" fontId="7" fillId="0" borderId="2" applyFill="0">
      <alignment horizontal="center" vertical="center"/>
    </xf>
    <xf numFmtId="0" fontId="7" fillId="0" borderId="2" applyFill="0">
      <alignment horizontal="center" vertical="center"/>
    </xf>
    <xf numFmtId="0" fontId="7" fillId="0" borderId="2" applyFill="0">
      <alignment horizontal="left" vertical="center" indent="2"/>
    </xf>
  </cellStyleXfs>
  <cellXfs count="75">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3" xfId="0" applyBorder="1" applyAlignment="1">
      <alignment horizontal="center" vertical="center"/>
    </xf>
    <xf numFmtId="0" fontId="6" fillId="12" borderId="1" xfId="0" applyFont="1" applyFill="1" applyBorder="1" applyAlignment="1">
      <alignment horizontal="left" vertical="center" indent="1"/>
    </xf>
    <xf numFmtId="0" fontId="6" fillId="12" borderId="1" xfId="0" applyFont="1" applyFill="1" applyBorder="1" applyAlignment="1">
      <alignment horizontal="center" vertical="center" wrapText="1"/>
    </xf>
    <xf numFmtId="168" fontId="9" fillId="6" borderId="0" xfId="0" applyNumberFormat="1" applyFont="1" applyFill="1" applyAlignment="1">
      <alignment horizontal="center" vertical="center"/>
    </xf>
    <xf numFmtId="168" fontId="9" fillId="6" borderId="6" xfId="0" applyNumberFormat="1" applyFont="1" applyFill="1" applyBorder="1" applyAlignment="1">
      <alignment horizontal="center" vertical="center"/>
    </xf>
    <xf numFmtId="168" fontId="9" fillId="6" borderId="7" xfId="0" applyNumberFormat="1" applyFont="1" applyFill="1" applyBorder="1" applyAlignment="1">
      <alignment horizontal="center" vertical="center"/>
    </xf>
    <xf numFmtId="0" fontId="10" fillId="11" borderId="8" xfId="0" applyFont="1" applyFill="1" applyBorder="1" applyAlignment="1">
      <alignment horizontal="center" vertical="center" shrinkToFit="1"/>
    </xf>
    <xf numFmtId="0" fontId="4" fillId="0" borderId="2" xfId="0" applyFont="1" applyBorder="1" applyAlignment="1">
      <alignment horizontal="center" vertical="center"/>
    </xf>
    <xf numFmtId="0" fontId="5" fillId="7" borderId="2" xfId="0" applyFont="1" applyFill="1" applyBorder="1" applyAlignment="1">
      <alignment horizontal="left" vertical="center" indent="1"/>
    </xf>
    <xf numFmtId="9" fontId="4" fillId="7" borderId="2" xfId="2" applyFont="1" applyFill="1" applyBorder="1" applyAlignment="1">
      <alignment horizontal="center" vertical="center"/>
    </xf>
    <xf numFmtId="165" fontId="0" fillId="7" borderId="2" xfId="0" applyNumberFormat="1" applyFill="1" applyBorder="1" applyAlignment="1">
      <alignment horizontal="center" vertical="center"/>
    </xf>
    <xf numFmtId="165" fontId="4" fillId="7" borderId="2" xfId="0" applyNumberFormat="1" applyFont="1" applyFill="1" applyBorder="1" applyAlignment="1">
      <alignment horizontal="center" vertical="center"/>
    </xf>
    <xf numFmtId="9" fontId="4" fillId="2" borderId="2" xfId="2" applyFont="1" applyFill="1" applyBorder="1" applyAlignment="1">
      <alignment horizontal="center" vertical="center"/>
    </xf>
    <xf numFmtId="0" fontId="5" fillId="8" borderId="2" xfId="0" applyFont="1" applyFill="1" applyBorder="1" applyAlignment="1">
      <alignment horizontal="left" vertical="center" indent="1"/>
    </xf>
    <xf numFmtId="9" fontId="4" fillId="8" borderId="2" xfId="2" applyFont="1" applyFill="1" applyBorder="1" applyAlignment="1">
      <alignment horizontal="center" vertical="center"/>
    </xf>
    <xf numFmtId="165" fontId="0" fillId="8" borderId="2" xfId="0" applyNumberFormat="1" applyFill="1" applyBorder="1" applyAlignment="1">
      <alignment horizontal="center" vertical="center"/>
    </xf>
    <xf numFmtId="165" fontId="4" fillId="8" borderId="2" xfId="0" applyNumberFormat="1" applyFont="1" applyFill="1" applyBorder="1" applyAlignment="1">
      <alignment horizontal="center" vertical="center"/>
    </xf>
    <xf numFmtId="9" fontId="4" fillId="3" borderId="2" xfId="2" applyFont="1" applyFill="1" applyBorder="1" applyAlignment="1">
      <alignment horizontal="center" vertical="center"/>
    </xf>
    <xf numFmtId="0" fontId="5" fillId="5" borderId="2" xfId="0" applyFont="1" applyFill="1" applyBorder="1" applyAlignment="1">
      <alignment horizontal="left" vertical="center" indent="1"/>
    </xf>
    <xf numFmtId="9" fontId="4" fillId="5" borderId="2" xfId="2" applyFont="1" applyFill="1" applyBorder="1" applyAlignment="1">
      <alignment horizontal="center" vertical="center"/>
    </xf>
    <xf numFmtId="165" fontId="0" fillId="5" borderId="2" xfId="0" applyNumberFormat="1" applyFill="1" applyBorder="1" applyAlignment="1">
      <alignment horizontal="center" vertical="center"/>
    </xf>
    <xf numFmtId="165" fontId="4" fillId="5" borderId="2" xfId="0" applyNumberFormat="1" applyFont="1" applyFill="1" applyBorder="1" applyAlignment="1">
      <alignment horizontal="center" vertical="center"/>
    </xf>
    <xf numFmtId="9" fontId="4" fillId="10" borderId="2" xfId="2" applyFont="1" applyFill="1" applyBorder="1" applyAlignment="1">
      <alignment horizontal="center" vertical="center"/>
    </xf>
    <xf numFmtId="0" fontId="5" fillId="4" borderId="2" xfId="0" applyFont="1" applyFill="1" applyBorder="1" applyAlignment="1">
      <alignment horizontal="left" vertical="center" indent="1"/>
    </xf>
    <xf numFmtId="9" fontId="4" fillId="4" borderId="2" xfId="2" applyFont="1" applyFill="1" applyBorder="1" applyAlignment="1">
      <alignment horizontal="center" vertical="center"/>
    </xf>
    <xf numFmtId="165" fontId="0" fillId="4" borderId="2" xfId="0" applyNumberFormat="1" applyFill="1" applyBorder="1" applyAlignment="1">
      <alignment horizontal="center" vertical="center"/>
    </xf>
    <xf numFmtId="165" fontId="4" fillId="4" borderId="2" xfId="0" applyNumberFormat="1" applyFont="1" applyFill="1" applyBorder="1" applyAlignment="1">
      <alignment horizontal="center" vertical="center"/>
    </xf>
    <xf numFmtId="9" fontId="4" fillId="9" borderId="2" xfId="2"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2" fillId="0" borderId="0" xfId="0" applyFont="1" applyAlignment="1">
      <alignment horizontal="center" vertical="center"/>
    </xf>
    <xf numFmtId="0" fontId="12" fillId="0" borderId="0" xfId="3"/>
    <xf numFmtId="0" fontId="12" fillId="0" borderId="0" xfId="3" applyAlignment="1">
      <alignment wrapText="1"/>
    </xf>
    <xf numFmtId="0" fontId="0" fillId="0" borderId="0" xfId="0" applyAlignment="1">
      <alignment wrapText="1"/>
    </xf>
    <xf numFmtId="0" fontId="11" fillId="0" borderId="0" xfId="5" applyAlignment="1">
      <alignment horizontal="left"/>
    </xf>
    <xf numFmtId="0" fontId="8" fillId="0" borderId="0" xfId="6"/>
    <xf numFmtId="0" fontId="8" fillId="0" borderId="0" xfId="7">
      <alignment vertical="top"/>
    </xf>
    <xf numFmtId="165" fontId="7" fillId="2" borderId="2" xfId="10" applyFill="1">
      <alignment horizontal="center" vertical="center"/>
    </xf>
    <xf numFmtId="165" fontId="7" fillId="3" borderId="2" xfId="10" applyFill="1">
      <alignment horizontal="center" vertical="center"/>
    </xf>
    <xf numFmtId="165" fontId="7" fillId="10" borderId="2" xfId="10" applyFill="1">
      <alignment horizontal="center" vertical="center"/>
    </xf>
    <xf numFmtId="165" fontId="7" fillId="9" borderId="2" xfId="10" applyFill="1">
      <alignment horizontal="center" vertical="center"/>
    </xf>
    <xf numFmtId="0" fontId="7" fillId="7" borderId="2" xfId="11" applyFill="1">
      <alignment horizontal="center" vertical="center"/>
    </xf>
    <xf numFmtId="0" fontId="7" fillId="2" borderId="2" xfId="11" applyFill="1">
      <alignment horizontal="center" vertical="center"/>
    </xf>
    <xf numFmtId="0" fontId="7" fillId="8" borderId="2" xfId="11" applyFill="1">
      <alignment horizontal="center" vertical="center"/>
    </xf>
    <xf numFmtId="0" fontId="7" fillId="3" borderId="2" xfId="11" applyFill="1">
      <alignment horizontal="center" vertical="center"/>
    </xf>
    <xf numFmtId="0" fontId="7" fillId="5" borderId="2" xfId="11" applyFill="1">
      <alignment horizontal="center" vertical="center"/>
    </xf>
    <xf numFmtId="0" fontId="7" fillId="10" borderId="2" xfId="11" applyFill="1">
      <alignment horizontal="center" vertical="center"/>
    </xf>
    <xf numFmtId="0" fontId="7" fillId="4" borderId="2" xfId="11" applyFill="1">
      <alignment horizontal="center" vertical="center"/>
    </xf>
    <xf numFmtId="0" fontId="7" fillId="9" borderId="2" xfId="11" applyFill="1">
      <alignment horizontal="center" vertical="center"/>
    </xf>
    <xf numFmtId="0" fontId="7" fillId="2" borderId="2" xfId="12" applyFill="1">
      <alignment horizontal="left" vertical="center" indent="2"/>
    </xf>
    <xf numFmtId="0" fontId="7" fillId="3" borderId="2" xfId="12" applyFill="1">
      <alignment horizontal="left" vertical="center" indent="2"/>
    </xf>
    <xf numFmtId="0" fontId="7" fillId="10" borderId="2" xfId="12" applyFill="1">
      <alignment horizontal="left" vertical="center" indent="2"/>
    </xf>
    <xf numFmtId="0" fontId="7" fillId="9" borderId="2" xfId="12" applyFill="1">
      <alignment horizontal="left" vertical="center" indent="2"/>
    </xf>
    <xf numFmtId="0" fontId="0" fillId="0" borderId="10" xfId="0" applyBorder="1"/>
    <xf numFmtId="0" fontId="13" fillId="0" borderId="0" xfId="0" applyFont="1"/>
    <xf numFmtId="0" fontId="14" fillId="0" borderId="0" xfId="1" applyFont="1" applyProtection="1">
      <alignment vertical="top"/>
    </xf>
    <xf numFmtId="0" fontId="5" fillId="13" borderId="2" xfId="0" applyFont="1" applyFill="1" applyBorder="1" applyAlignment="1">
      <alignment horizontal="left" vertical="center" indent="1"/>
    </xf>
    <xf numFmtId="0" fontId="7" fillId="13" borderId="2" xfId="11" applyFill="1">
      <alignment horizontal="center" vertical="center"/>
    </xf>
    <xf numFmtId="9" fontId="4" fillId="13" borderId="2" xfId="2" applyFont="1" applyFill="1" applyBorder="1" applyAlignment="1">
      <alignment horizontal="center" vertical="center"/>
    </xf>
    <xf numFmtId="165" fontId="0" fillId="13" borderId="2" xfId="0" applyNumberFormat="1" applyFill="1" applyBorder="1" applyAlignment="1">
      <alignment horizontal="center" vertical="center"/>
    </xf>
    <xf numFmtId="165" fontId="4" fillId="13" borderId="2" xfId="0" applyNumberFormat="1" applyFont="1" applyFill="1" applyBorder="1" applyAlignment="1">
      <alignment horizontal="center" vertical="center"/>
    </xf>
    <xf numFmtId="0" fontId="7" fillId="13" borderId="2" xfId="12" applyFill="1">
      <alignment horizontal="left" vertical="center" indent="2"/>
    </xf>
    <xf numFmtId="165" fontId="7" fillId="13" borderId="2" xfId="10" applyFill="1">
      <alignment horizontal="center" vertical="center"/>
    </xf>
    <xf numFmtId="167" fontId="0" fillId="6" borderId="4" xfId="0" applyNumberFormat="1" applyFill="1" applyBorder="1" applyAlignment="1">
      <alignment horizontal="left" vertical="center" wrapText="1" indent="1"/>
    </xf>
    <xf numFmtId="167" fontId="0" fillId="6" borderId="1" xfId="0" applyNumberFormat="1" applyFill="1" applyBorder="1" applyAlignment="1">
      <alignment horizontal="left" vertical="center" wrapText="1" indent="1"/>
    </xf>
    <xf numFmtId="167" fontId="0" fillId="6" borderId="5" xfId="0" applyNumberFormat="1" applyFill="1" applyBorder="1" applyAlignment="1">
      <alignment horizontal="left" vertical="center" wrapText="1" indent="1"/>
    </xf>
    <xf numFmtId="166" fontId="7" fillId="0" borderId="3" xfId="9">
      <alignment horizontal="center" vertical="center"/>
    </xf>
    <xf numFmtId="0" fontId="7" fillId="0" borderId="0" xfId="8">
      <alignment horizontal="right" indent="1"/>
    </xf>
    <xf numFmtId="0" fontId="7" fillId="0" borderId="7" xfId="8" applyBorder="1">
      <alignment horizontal="right" indent="1"/>
    </xf>
  </cellXfs>
  <cellStyles count="13">
    <cellStyle name="Comma" xfId="4" builtinId="3" customBuiltin="1"/>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55"/>
  <sheetViews>
    <sheetView showGridLines="0" tabSelected="1" showRuler="0" zoomScale="70" zoomScaleNormal="70" zoomScalePageLayoutView="70" workbookViewId="0">
      <pane ySplit="6" topLeftCell="A47" activePane="bottomLeft" state="frozen"/>
      <selection pane="bottomLeft" activeCell="E5" sqref="E5"/>
    </sheetView>
  </sheetViews>
  <sheetFormatPr defaultRowHeight="30" customHeight="1" x14ac:dyDescent="0.35"/>
  <cols>
    <col min="1" max="1" width="2.6328125" style="37" customWidth="1"/>
    <col min="2" max="2" width="67.90625" customWidth="1"/>
    <col min="3" max="3" width="30.6328125" customWidth="1"/>
    <col min="4" max="4" width="10.6328125" customWidth="1"/>
    <col min="5" max="5" width="10.453125" style="5" customWidth="1"/>
    <col min="6" max="6" width="10.453125" customWidth="1"/>
    <col min="7" max="7" width="2.6328125" customWidth="1"/>
    <col min="8" max="8" width="6.08984375" hidden="1" customWidth="1"/>
    <col min="9" max="64" width="2.54296875" customWidth="1"/>
    <col min="69" max="70" width="10.36328125"/>
  </cols>
  <sheetData>
    <row r="1" spans="1:64" ht="30" customHeight="1" x14ac:dyDescent="0.65">
      <c r="A1" s="38" t="s">
        <v>10</v>
      </c>
      <c r="B1" s="40" t="s">
        <v>52</v>
      </c>
      <c r="C1" s="1"/>
      <c r="D1" s="2"/>
      <c r="E1" s="4"/>
      <c r="F1" s="36"/>
      <c r="H1" s="2"/>
      <c r="I1" s="60"/>
    </row>
    <row r="2" spans="1:64" ht="30" customHeight="1" x14ac:dyDescent="0.45">
      <c r="A2" s="37" t="s">
        <v>8</v>
      </c>
      <c r="B2" s="41" t="s">
        <v>53</v>
      </c>
      <c r="I2" s="61"/>
    </row>
    <row r="3" spans="1:64" ht="30" customHeight="1" x14ac:dyDescent="0.35">
      <c r="A3" s="37" t="s">
        <v>17</v>
      </c>
      <c r="B3" s="42" t="s">
        <v>54</v>
      </c>
      <c r="C3" s="73" t="s">
        <v>0</v>
      </c>
      <c r="D3" s="74"/>
      <c r="E3" s="72">
        <f ca="1">TODAY()</f>
        <v>44949</v>
      </c>
      <c r="F3" s="72"/>
    </row>
    <row r="4" spans="1:64" ht="30" customHeight="1" x14ac:dyDescent="0.35">
      <c r="A4" s="38" t="s">
        <v>11</v>
      </c>
      <c r="C4" s="73" t="s">
        <v>6</v>
      </c>
      <c r="D4" s="74"/>
      <c r="E4" s="6">
        <v>1</v>
      </c>
      <c r="I4" s="69">
        <f ca="1">I5</f>
        <v>44949</v>
      </c>
      <c r="J4" s="70"/>
      <c r="K4" s="70"/>
      <c r="L4" s="70"/>
      <c r="M4" s="70"/>
      <c r="N4" s="70"/>
      <c r="O4" s="71"/>
      <c r="P4" s="69">
        <f ca="1">P5</f>
        <v>44956</v>
      </c>
      <c r="Q4" s="70"/>
      <c r="R4" s="70"/>
      <c r="S4" s="70"/>
      <c r="T4" s="70"/>
      <c r="U4" s="70"/>
      <c r="V4" s="71"/>
      <c r="W4" s="69">
        <f ca="1">W5</f>
        <v>44963</v>
      </c>
      <c r="X4" s="70"/>
      <c r="Y4" s="70"/>
      <c r="Z4" s="70"/>
      <c r="AA4" s="70"/>
      <c r="AB4" s="70"/>
      <c r="AC4" s="71"/>
      <c r="AD4" s="69">
        <f ca="1">AD5</f>
        <v>44970</v>
      </c>
      <c r="AE4" s="70"/>
      <c r="AF4" s="70"/>
      <c r="AG4" s="70"/>
      <c r="AH4" s="70"/>
      <c r="AI4" s="70"/>
      <c r="AJ4" s="71"/>
      <c r="AK4" s="69">
        <f ca="1">AK5</f>
        <v>44977</v>
      </c>
      <c r="AL4" s="70"/>
      <c r="AM4" s="70"/>
      <c r="AN4" s="70"/>
      <c r="AO4" s="70"/>
      <c r="AP4" s="70"/>
      <c r="AQ4" s="71"/>
      <c r="AR4" s="69">
        <f ca="1">AR5</f>
        <v>44984</v>
      </c>
      <c r="AS4" s="70"/>
      <c r="AT4" s="70"/>
      <c r="AU4" s="70"/>
      <c r="AV4" s="70"/>
      <c r="AW4" s="70"/>
      <c r="AX4" s="71"/>
      <c r="AY4" s="69">
        <f ca="1">AY5</f>
        <v>44991</v>
      </c>
      <c r="AZ4" s="70"/>
      <c r="BA4" s="70"/>
      <c r="BB4" s="70"/>
      <c r="BC4" s="70"/>
      <c r="BD4" s="70"/>
      <c r="BE4" s="71"/>
      <c r="BF4" s="69">
        <f ca="1">BF5</f>
        <v>44998</v>
      </c>
      <c r="BG4" s="70"/>
      <c r="BH4" s="70"/>
      <c r="BI4" s="70"/>
      <c r="BJ4" s="70"/>
      <c r="BK4" s="70"/>
      <c r="BL4" s="71"/>
    </row>
    <row r="5" spans="1:64" ht="15" customHeight="1" x14ac:dyDescent="0.35">
      <c r="A5" s="38" t="s">
        <v>12</v>
      </c>
      <c r="B5" s="59"/>
      <c r="C5" s="59"/>
      <c r="D5" s="59"/>
      <c r="E5" s="59"/>
      <c r="F5" s="59"/>
      <c r="G5" s="59"/>
      <c r="I5" s="10">
        <f ca="1">Project_Start-WEEKDAY(Project_Start,1)+2+7*(Display_Week-1)</f>
        <v>44949</v>
      </c>
      <c r="J5" s="9">
        <f ca="1">I5+1</f>
        <v>44950</v>
      </c>
      <c r="K5" s="9">
        <f t="shared" ref="K5:AX5" ca="1" si="0">J5+1</f>
        <v>44951</v>
      </c>
      <c r="L5" s="9">
        <f t="shared" ca="1" si="0"/>
        <v>44952</v>
      </c>
      <c r="M5" s="9">
        <f t="shared" ca="1" si="0"/>
        <v>44953</v>
      </c>
      <c r="N5" s="9">
        <f t="shared" ca="1" si="0"/>
        <v>44954</v>
      </c>
      <c r="O5" s="11">
        <f t="shared" ca="1" si="0"/>
        <v>44955</v>
      </c>
      <c r="P5" s="10">
        <f ca="1">O5+1</f>
        <v>44956</v>
      </c>
      <c r="Q5" s="9">
        <f ca="1">P5+1</f>
        <v>44957</v>
      </c>
      <c r="R5" s="9">
        <f t="shared" ca="1" si="0"/>
        <v>44958</v>
      </c>
      <c r="S5" s="9">
        <f t="shared" ca="1" si="0"/>
        <v>44959</v>
      </c>
      <c r="T5" s="9">
        <f t="shared" ca="1" si="0"/>
        <v>44960</v>
      </c>
      <c r="U5" s="9">
        <f t="shared" ca="1" si="0"/>
        <v>44961</v>
      </c>
      <c r="V5" s="11">
        <f t="shared" ca="1" si="0"/>
        <v>44962</v>
      </c>
      <c r="W5" s="10">
        <f ca="1">V5+1</f>
        <v>44963</v>
      </c>
      <c r="X5" s="9">
        <f ca="1">W5+1</f>
        <v>44964</v>
      </c>
      <c r="Y5" s="9">
        <f t="shared" ca="1" si="0"/>
        <v>44965</v>
      </c>
      <c r="Z5" s="9">
        <f t="shared" ca="1" si="0"/>
        <v>44966</v>
      </c>
      <c r="AA5" s="9">
        <f t="shared" ca="1" si="0"/>
        <v>44967</v>
      </c>
      <c r="AB5" s="9">
        <f t="shared" ca="1" si="0"/>
        <v>44968</v>
      </c>
      <c r="AC5" s="11">
        <f t="shared" ca="1" si="0"/>
        <v>44969</v>
      </c>
      <c r="AD5" s="10">
        <f ca="1">AC5+1</f>
        <v>44970</v>
      </c>
      <c r="AE5" s="9">
        <f ca="1">AD5+1</f>
        <v>44971</v>
      </c>
      <c r="AF5" s="9">
        <f t="shared" ca="1" si="0"/>
        <v>44972</v>
      </c>
      <c r="AG5" s="9">
        <f t="shared" ca="1" si="0"/>
        <v>44973</v>
      </c>
      <c r="AH5" s="9">
        <f t="shared" ca="1" si="0"/>
        <v>44974</v>
      </c>
      <c r="AI5" s="9">
        <f t="shared" ca="1" si="0"/>
        <v>44975</v>
      </c>
      <c r="AJ5" s="11">
        <f t="shared" ca="1" si="0"/>
        <v>44976</v>
      </c>
      <c r="AK5" s="10">
        <f ca="1">AJ5+1</f>
        <v>44977</v>
      </c>
      <c r="AL5" s="9">
        <f ca="1">AK5+1</f>
        <v>44978</v>
      </c>
      <c r="AM5" s="9">
        <f t="shared" ca="1" si="0"/>
        <v>44979</v>
      </c>
      <c r="AN5" s="9">
        <f t="shared" ca="1" si="0"/>
        <v>44980</v>
      </c>
      <c r="AO5" s="9">
        <f t="shared" ca="1" si="0"/>
        <v>44981</v>
      </c>
      <c r="AP5" s="9">
        <f t="shared" ca="1" si="0"/>
        <v>44982</v>
      </c>
      <c r="AQ5" s="11">
        <f t="shared" ca="1" si="0"/>
        <v>44983</v>
      </c>
      <c r="AR5" s="10">
        <f ca="1">AQ5+1</f>
        <v>44984</v>
      </c>
      <c r="AS5" s="9">
        <f ca="1">AR5+1</f>
        <v>44985</v>
      </c>
      <c r="AT5" s="9">
        <f t="shared" ca="1" si="0"/>
        <v>44986</v>
      </c>
      <c r="AU5" s="9">
        <f t="shared" ca="1" si="0"/>
        <v>44987</v>
      </c>
      <c r="AV5" s="9">
        <f t="shared" ca="1" si="0"/>
        <v>44988</v>
      </c>
      <c r="AW5" s="9">
        <f t="shared" ca="1" si="0"/>
        <v>44989</v>
      </c>
      <c r="AX5" s="11">
        <f t="shared" ca="1" si="0"/>
        <v>44990</v>
      </c>
      <c r="AY5" s="10">
        <f ca="1">AX5+1</f>
        <v>44991</v>
      </c>
      <c r="AZ5" s="9">
        <f ca="1">AY5+1</f>
        <v>44992</v>
      </c>
      <c r="BA5" s="9">
        <f t="shared" ref="BA5:BE5" ca="1" si="1">AZ5+1</f>
        <v>44993</v>
      </c>
      <c r="BB5" s="9">
        <f t="shared" ca="1" si="1"/>
        <v>44994</v>
      </c>
      <c r="BC5" s="9">
        <f t="shared" ca="1" si="1"/>
        <v>44995</v>
      </c>
      <c r="BD5" s="9">
        <f t="shared" ca="1" si="1"/>
        <v>44996</v>
      </c>
      <c r="BE5" s="11">
        <f t="shared" ca="1" si="1"/>
        <v>44997</v>
      </c>
      <c r="BF5" s="10">
        <f ca="1">BE5+1</f>
        <v>44998</v>
      </c>
      <c r="BG5" s="9">
        <f ca="1">BF5+1</f>
        <v>44999</v>
      </c>
      <c r="BH5" s="9">
        <f t="shared" ref="BH5:BL5" ca="1" si="2">BG5+1</f>
        <v>45000</v>
      </c>
      <c r="BI5" s="9">
        <f t="shared" ca="1" si="2"/>
        <v>45001</v>
      </c>
      <c r="BJ5" s="9">
        <f t="shared" ca="1" si="2"/>
        <v>45002</v>
      </c>
      <c r="BK5" s="9">
        <f t="shared" ca="1" si="2"/>
        <v>45003</v>
      </c>
      <c r="BL5" s="11">
        <f t="shared" ca="1" si="2"/>
        <v>45004</v>
      </c>
    </row>
    <row r="6" spans="1:64" ht="30" customHeight="1" thickBot="1" x14ac:dyDescent="0.4">
      <c r="A6" s="38" t="s">
        <v>13</v>
      </c>
      <c r="B6" s="7" t="s">
        <v>7</v>
      </c>
      <c r="C6" s="8" t="s">
        <v>2</v>
      </c>
      <c r="D6" s="8" t="s">
        <v>1</v>
      </c>
      <c r="E6" s="8" t="s">
        <v>3</v>
      </c>
      <c r="F6" s="8" t="s">
        <v>4</v>
      </c>
      <c r="G6" s="8"/>
      <c r="H6" s="8" t="s">
        <v>5</v>
      </c>
      <c r="I6" s="12" t="str">
        <f t="shared" ref="I6" ca="1" si="3">LEFT(TEXT(I5,"ddd"),1)</f>
        <v>M</v>
      </c>
      <c r="J6" s="12" t="str">
        <f t="shared" ref="J6:AR6" ca="1" si="4">LEFT(TEXT(J5,"ddd"),1)</f>
        <v>T</v>
      </c>
      <c r="K6" s="12" t="str">
        <f t="shared" ca="1" si="4"/>
        <v>W</v>
      </c>
      <c r="L6" s="12" t="str">
        <f t="shared" ca="1" si="4"/>
        <v>T</v>
      </c>
      <c r="M6" s="12" t="str">
        <f t="shared" ca="1" si="4"/>
        <v>F</v>
      </c>
      <c r="N6" s="12" t="str">
        <f t="shared" ca="1" si="4"/>
        <v>S</v>
      </c>
      <c r="O6" s="12" t="str">
        <f t="shared" ca="1" si="4"/>
        <v>S</v>
      </c>
      <c r="P6" s="12" t="str">
        <f t="shared" ca="1" si="4"/>
        <v>M</v>
      </c>
      <c r="Q6" s="12" t="str">
        <f t="shared" ca="1" si="4"/>
        <v>T</v>
      </c>
      <c r="R6" s="12" t="str">
        <f t="shared" ca="1" si="4"/>
        <v>W</v>
      </c>
      <c r="S6" s="12" t="str">
        <f t="shared" ca="1" si="4"/>
        <v>T</v>
      </c>
      <c r="T6" s="12" t="str">
        <f t="shared" ca="1" si="4"/>
        <v>F</v>
      </c>
      <c r="U6" s="12" t="str">
        <f t="shared" ca="1" si="4"/>
        <v>S</v>
      </c>
      <c r="V6" s="12" t="str">
        <f t="shared" ca="1" si="4"/>
        <v>S</v>
      </c>
      <c r="W6" s="12" t="str">
        <f t="shared" ca="1" si="4"/>
        <v>M</v>
      </c>
      <c r="X6" s="12" t="str">
        <f t="shared" ca="1" si="4"/>
        <v>T</v>
      </c>
      <c r="Y6" s="12" t="str">
        <f t="shared" ca="1" si="4"/>
        <v>W</v>
      </c>
      <c r="Z6" s="12" t="str">
        <f t="shared" ca="1" si="4"/>
        <v>T</v>
      </c>
      <c r="AA6" s="12" t="str">
        <f t="shared" ca="1" si="4"/>
        <v>F</v>
      </c>
      <c r="AB6" s="12" t="str">
        <f t="shared" ca="1" si="4"/>
        <v>S</v>
      </c>
      <c r="AC6" s="12" t="str">
        <f t="shared" ca="1" si="4"/>
        <v>S</v>
      </c>
      <c r="AD6" s="12" t="str">
        <f t="shared" ca="1" si="4"/>
        <v>M</v>
      </c>
      <c r="AE6" s="12" t="str">
        <f t="shared" ca="1" si="4"/>
        <v>T</v>
      </c>
      <c r="AF6" s="12" t="str">
        <f t="shared" ca="1" si="4"/>
        <v>W</v>
      </c>
      <c r="AG6" s="12" t="str">
        <f t="shared" ca="1" si="4"/>
        <v>T</v>
      </c>
      <c r="AH6" s="12" t="str">
        <f t="shared" ca="1" si="4"/>
        <v>F</v>
      </c>
      <c r="AI6" s="12" t="str">
        <f t="shared" ca="1" si="4"/>
        <v>S</v>
      </c>
      <c r="AJ6" s="12" t="str">
        <f t="shared" ca="1" si="4"/>
        <v>S</v>
      </c>
      <c r="AK6" s="12" t="str">
        <f t="shared" ca="1" si="4"/>
        <v>M</v>
      </c>
      <c r="AL6" s="12" t="str">
        <f t="shared" ca="1" si="4"/>
        <v>T</v>
      </c>
      <c r="AM6" s="12" t="str">
        <f t="shared" ca="1" si="4"/>
        <v>W</v>
      </c>
      <c r="AN6" s="12" t="str">
        <f t="shared" ca="1" si="4"/>
        <v>T</v>
      </c>
      <c r="AO6" s="12" t="str">
        <f t="shared" ca="1" si="4"/>
        <v>F</v>
      </c>
      <c r="AP6" s="12" t="str">
        <f t="shared" ca="1" si="4"/>
        <v>S</v>
      </c>
      <c r="AQ6" s="12" t="str">
        <f t="shared" ca="1" si="4"/>
        <v>S</v>
      </c>
      <c r="AR6" s="12" t="str">
        <f t="shared" ca="1" si="4"/>
        <v>M</v>
      </c>
      <c r="AS6" s="12" t="str">
        <f t="shared" ref="AS6:BL6" ca="1" si="5">LEFT(TEXT(AS5,"ddd"),1)</f>
        <v>T</v>
      </c>
      <c r="AT6" s="12" t="str">
        <f t="shared" ca="1" si="5"/>
        <v>W</v>
      </c>
      <c r="AU6" s="12" t="str">
        <f t="shared" ca="1" si="5"/>
        <v>T</v>
      </c>
      <c r="AV6" s="12" t="str">
        <f t="shared" ca="1" si="5"/>
        <v>F</v>
      </c>
      <c r="AW6" s="12" t="str">
        <f t="shared" ca="1" si="5"/>
        <v>S</v>
      </c>
      <c r="AX6" s="12" t="str">
        <f t="shared" ca="1" si="5"/>
        <v>S</v>
      </c>
      <c r="AY6" s="12" t="str">
        <f t="shared" ca="1" si="5"/>
        <v>M</v>
      </c>
      <c r="AZ6" s="12" t="str">
        <f t="shared" ca="1" si="5"/>
        <v>T</v>
      </c>
      <c r="BA6" s="12" t="str">
        <f t="shared" ca="1" si="5"/>
        <v>W</v>
      </c>
      <c r="BB6" s="12" t="str">
        <f t="shared" ca="1" si="5"/>
        <v>T</v>
      </c>
      <c r="BC6" s="12" t="str">
        <f t="shared" ca="1" si="5"/>
        <v>F</v>
      </c>
      <c r="BD6" s="12" t="str">
        <f t="shared" ca="1" si="5"/>
        <v>S</v>
      </c>
      <c r="BE6" s="12" t="str">
        <f t="shared" ca="1" si="5"/>
        <v>S</v>
      </c>
      <c r="BF6" s="12" t="str">
        <f t="shared" ca="1" si="5"/>
        <v>M</v>
      </c>
      <c r="BG6" s="12" t="str">
        <f t="shared" ca="1" si="5"/>
        <v>T</v>
      </c>
      <c r="BH6" s="12" t="str">
        <f t="shared" ca="1" si="5"/>
        <v>W</v>
      </c>
      <c r="BI6" s="12" t="str">
        <f t="shared" ca="1" si="5"/>
        <v>T</v>
      </c>
      <c r="BJ6" s="12" t="str">
        <f t="shared" ca="1" si="5"/>
        <v>F</v>
      </c>
      <c r="BK6" s="12" t="str">
        <f t="shared" ca="1" si="5"/>
        <v>S</v>
      </c>
      <c r="BL6" s="12" t="str">
        <f t="shared" ca="1" si="5"/>
        <v>S</v>
      </c>
    </row>
    <row r="7" spans="1:64" ht="30" hidden="1" customHeight="1" thickBot="1" x14ac:dyDescent="0.4">
      <c r="A7" s="37" t="s">
        <v>18</v>
      </c>
      <c r="C7" s="39"/>
      <c r="E7"/>
      <c r="H7" t="str">
        <f>IF(OR(ISBLANK(task_start),ISBLANK(task_end)),"",task_end-task_start+1)</f>
        <v/>
      </c>
      <c r="I7" s="34"/>
      <c r="J7" s="34"/>
      <c r="K7" s="34"/>
      <c r="L7" s="34"/>
      <c r="M7" s="34"/>
      <c r="N7" s="34"/>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row>
    <row r="8" spans="1:64" s="3" customFormat="1" ht="30" customHeight="1" thickBot="1" x14ac:dyDescent="0.4">
      <c r="A8" s="38" t="s">
        <v>14</v>
      </c>
      <c r="B8" s="14" t="s">
        <v>20</v>
      </c>
      <c r="C8" s="47"/>
      <c r="D8" s="15"/>
      <c r="E8" s="16"/>
      <c r="F8" s="17"/>
      <c r="G8" s="13"/>
      <c r="H8" s="13" t="str">
        <f t="shared" ref="H8:H55" si="6">IF(OR(ISBLANK(task_start),ISBLANK(task_end)),"",task_end-task_start+1)</f>
        <v/>
      </c>
      <c r="I8" s="34"/>
      <c r="J8" s="34"/>
      <c r="K8" s="34"/>
      <c r="L8" s="34"/>
      <c r="M8" s="34"/>
      <c r="N8" s="34"/>
      <c r="O8" s="34"/>
      <c r="P8" s="34"/>
      <c r="Q8" s="34"/>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row>
    <row r="9" spans="1:64" s="3" customFormat="1" ht="30" customHeight="1" thickBot="1" x14ac:dyDescent="0.4">
      <c r="A9" s="38" t="s">
        <v>19</v>
      </c>
      <c r="B9" s="55" t="s">
        <v>27</v>
      </c>
      <c r="C9" s="48" t="s">
        <v>32</v>
      </c>
      <c r="D9" s="18">
        <v>1</v>
      </c>
      <c r="E9" s="43">
        <f t="shared" ref="E9:F15" ca="1" si="7">Project_Start</f>
        <v>44949</v>
      </c>
      <c r="F9" s="43">
        <f t="shared" ca="1" si="7"/>
        <v>44949</v>
      </c>
      <c r="G9" s="13"/>
      <c r="H9" s="13">
        <f t="shared" ca="1" si="6"/>
        <v>1</v>
      </c>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row>
    <row r="10" spans="1:64" s="3" customFormat="1" ht="30" customHeight="1" thickBot="1" x14ac:dyDescent="0.4">
      <c r="A10" s="38" t="s">
        <v>15</v>
      </c>
      <c r="B10" s="55" t="s">
        <v>25</v>
      </c>
      <c r="C10" s="48" t="s">
        <v>33</v>
      </c>
      <c r="D10" s="18">
        <v>1</v>
      </c>
      <c r="E10" s="43">
        <f t="shared" ca="1" si="7"/>
        <v>44949</v>
      </c>
      <c r="F10" s="43">
        <f t="shared" ca="1" si="7"/>
        <v>44949</v>
      </c>
      <c r="G10" s="13"/>
      <c r="H10" s="13">
        <f t="shared" ca="1" si="6"/>
        <v>1</v>
      </c>
      <c r="I10" s="34"/>
      <c r="J10" s="34"/>
      <c r="K10" s="34"/>
      <c r="L10" s="34"/>
      <c r="M10" s="34"/>
      <c r="N10" s="34"/>
      <c r="O10" s="34"/>
      <c r="P10" s="34"/>
      <c r="Q10" s="34"/>
      <c r="R10" s="34"/>
      <c r="S10" s="34"/>
      <c r="T10" s="34"/>
      <c r="U10" s="35"/>
      <c r="V10" s="35"/>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c r="AZ10" s="34"/>
      <c r="BA10" s="34"/>
      <c r="BB10" s="34"/>
      <c r="BC10" s="34"/>
      <c r="BD10" s="34"/>
      <c r="BE10" s="34"/>
      <c r="BF10" s="34"/>
      <c r="BG10" s="34"/>
      <c r="BH10" s="34"/>
      <c r="BI10" s="34"/>
      <c r="BJ10" s="34"/>
      <c r="BK10" s="34"/>
      <c r="BL10" s="34"/>
    </row>
    <row r="11" spans="1:64" s="3" customFormat="1" ht="30" customHeight="1" thickBot="1" x14ac:dyDescent="0.4">
      <c r="A11" s="37"/>
      <c r="B11" s="55" t="s">
        <v>26</v>
      </c>
      <c r="C11" s="48" t="s">
        <v>34</v>
      </c>
      <c r="D11" s="18">
        <v>1</v>
      </c>
      <c r="E11" s="43">
        <f t="shared" ca="1" si="7"/>
        <v>44949</v>
      </c>
      <c r="F11" s="43">
        <f t="shared" ca="1" si="7"/>
        <v>44949</v>
      </c>
      <c r="G11" s="13"/>
      <c r="H11" s="13">
        <f t="shared" ca="1" si="6"/>
        <v>1</v>
      </c>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c r="AZ11" s="34"/>
      <c r="BA11" s="34"/>
      <c r="BB11" s="34"/>
      <c r="BC11" s="34"/>
      <c r="BD11" s="34"/>
      <c r="BE11" s="34"/>
      <c r="BF11" s="34"/>
      <c r="BG11" s="34"/>
      <c r="BH11" s="34"/>
      <c r="BI11" s="34"/>
      <c r="BJ11" s="34"/>
      <c r="BK11" s="34"/>
      <c r="BL11" s="34"/>
    </row>
    <row r="12" spans="1:64" s="3" customFormat="1" ht="30" customHeight="1" thickBot="1" x14ac:dyDescent="0.4">
      <c r="A12" s="37"/>
      <c r="B12" s="55" t="s">
        <v>28</v>
      </c>
      <c r="C12" s="48" t="s">
        <v>34</v>
      </c>
      <c r="D12" s="18">
        <v>1</v>
      </c>
      <c r="E12" s="43">
        <f t="shared" ca="1" si="7"/>
        <v>44949</v>
      </c>
      <c r="F12" s="43">
        <f t="shared" ca="1" si="7"/>
        <v>44949</v>
      </c>
      <c r="G12" s="13"/>
      <c r="H12" s="13">
        <f t="shared" ca="1" si="6"/>
        <v>1</v>
      </c>
      <c r="I12" s="34"/>
      <c r="J12" s="34"/>
      <c r="K12" s="34"/>
      <c r="L12" s="34"/>
      <c r="M12" s="34"/>
      <c r="N12" s="34"/>
      <c r="O12" s="34"/>
      <c r="P12" s="34"/>
      <c r="Q12" s="34"/>
      <c r="R12" s="34"/>
      <c r="S12" s="34"/>
      <c r="T12" s="34"/>
      <c r="U12" s="34"/>
      <c r="V12" s="34"/>
      <c r="W12" s="34"/>
      <c r="X12" s="34"/>
      <c r="Y12" s="35"/>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4"/>
      <c r="BD12" s="34"/>
      <c r="BE12" s="34"/>
      <c r="BF12" s="34"/>
      <c r="BG12" s="34"/>
      <c r="BH12" s="34"/>
      <c r="BI12" s="34"/>
      <c r="BJ12" s="34"/>
      <c r="BK12" s="34"/>
      <c r="BL12" s="34"/>
    </row>
    <row r="13" spans="1:64" s="3" customFormat="1" ht="30" customHeight="1" thickBot="1" x14ac:dyDescent="0.4">
      <c r="A13" s="37"/>
      <c r="B13" s="55" t="s">
        <v>29</v>
      </c>
      <c r="C13" s="48" t="s">
        <v>32</v>
      </c>
      <c r="D13" s="18">
        <v>1</v>
      </c>
      <c r="E13" s="43">
        <f t="shared" ca="1" si="7"/>
        <v>44949</v>
      </c>
      <c r="F13" s="43">
        <f t="shared" ca="1" si="7"/>
        <v>44949</v>
      </c>
      <c r="G13" s="13"/>
      <c r="H13" s="13"/>
      <c r="I13" s="34"/>
      <c r="J13" s="34"/>
      <c r="K13" s="34"/>
      <c r="L13" s="34"/>
      <c r="M13" s="34"/>
      <c r="N13" s="34"/>
      <c r="O13" s="34"/>
      <c r="P13" s="34"/>
      <c r="Q13" s="34"/>
      <c r="R13" s="34"/>
      <c r="S13" s="34"/>
      <c r="T13" s="34"/>
      <c r="U13" s="34"/>
      <c r="V13" s="34"/>
      <c r="W13" s="34"/>
      <c r="X13" s="34"/>
      <c r="Y13" s="35"/>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34"/>
      <c r="BH13" s="34"/>
      <c r="BI13" s="34"/>
      <c r="BJ13" s="34"/>
      <c r="BK13" s="34"/>
      <c r="BL13" s="34"/>
    </row>
    <row r="14" spans="1:64" s="3" customFormat="1" ht="30" customHeight="1" thickBot="1" x14ac:dyDescent="0.4">
      <c r="A14" s="37"/>
      <c r="B14" s="55" t="s">
        <v>30</v>
      </c>
      <c r="C14" s="48" t="s">
        <v>33</v>
      </c>
      <c r="D14" s="18">
        <v>1</v>
      </c>
      <c r="E14" s="43">
        <f t="shared" ca="1" si="7"/>
        <v>44949</v>
      </c>
      <c r="F14" s="43">
        <f t="shared" ca="1" si="7"/>
        <v>44949</v>
      </c>
      <c r="G14" s="13"/>
      <c r="H14" s="13"/>
      <c r="I14" s="34"/>
      <c r="J14" s="34"/>
      <c r="K14" s="34"/>
      <c r="L14" s="34"/>
      <c r="M14" s="34"/>
      <c r="N14" s="34"/>
      <c r="O14" s="34"/>
      <c r="P14" s="34"/>
      <c r="Q14" s="34"/>
      <c r="R14" s="34"/>
      <c r="S14" s="34"/>
      <c r="T14" s="34"/>
      <c r="U14" s="34"/>
      <c r="V14" s="34"/>
      <c r="W14" s="34"/>
      <c r="X14" s="34"/>
      <c r="Y14" s="35"/>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row>
    <row r="15" spans="1:64" s="3" customFormat="1" ht="30" customHeight="1" thickBot="1" x14ac:dyDescent="0.4">
      <c r="A15" s="37"/>
      <c r="B15" s="55" t="s">
        <v>31</v>
      </c>
      <c r="C15" s="48" t="s">
        <v>35</v>
      </c>
      <c r="D15" s="18">
        <v>1</v>
      </c>
      <c r="E15" s="43">
        <f t="shared" ca="1" si="7"/>
        <v>44949</v>
      </c>
      <c r="F15" s="43">
        <f t="shared" ca="1" si="7"/>
        <v>44949</v>
      </c>
      <c r="G15" s="13"/>
      <c r="H15" s="13">
        <f t="shared" ca="1" si="6"/>
        <v>1</v>
      </c>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row>
    <row r="16" spans="1:64" s="3" customFormat="1" ht="30" customHeight="1" thickBot="1" x14ac:dyDescent="0.4">
      <c r="A16" s="38" t="s">
        <v>16</v>
      </c>
      <c r="B16" s="19" t="s">
        <v>21</v>
      </c>
      <c r="C16" s="49"/>
      <c r="D16" s="20"/>
      <c r="E16" s="21"/>
      <c r="F16" s="22"/>
      <c r="G16" s="13"/>
      <c r="H16" s="13" t="str">
        <f t="shared" si="6"/>
        <v/>
      </c>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row>
    <row r="17" spans="1:64" s="3" customFormat="1" ht="30" customHeight="1" thickBot="1" x14ac:dyDescent="0.4">
      <c r="A17" s="37"/>
      <c r="B17" s="56" t="s">
        <v>36</v>
      </c>
      <c r="C17" s="50" t="s">
        <v>35</v>
      </c>
      <c r="D17" s="23">
        <v>0</v>
      </c>
      <c r="E17" s="44">
        <f ca="1">E11+1</f>
        <v>44950</v>
      </c>
      <c r="F17" s="44">
        <f ca="1">E17+13</f>
        <v>44963</v>
      </c>
      <c r="G17" s="13"/>
      <c r="H17" s="13"/>
      <c r="I17" s="34"/>
      <c r="J17" s="34"/>
      <c r="K17" s="34"/>
      <c r="L17" s="34"/>
      <c r="M17" s="34"/>
      <c r="N17" s="34"/>
      <c r="O17" s="34"/>
      <c r="P17" s="34"/>
      <c r="Q17" s="34"/>
      <c r="R17" s="34"/>
      <c r="S17" s="34"/>
      <c r="T17" s="34"/>
      <c r="U17" s="34"/>
      <c r="V17" s="34"/>
      <c r="W17" s="34"/>
      <c r="X17" s="34"/>
      <c r="Y17" s="35"/>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row>
    <row r="18" spans="1:64" s="3" customFormat="1" ht="30" customHeight="1" thickBot="1" x14ac:dyDescent="0.4">
      <c r="A18" s="38"/>
      <c r="B18" s="56" t="s">
        <v>37</v>
      </c>
      <c r="C18" s="50" t="s">
        <v>34</v>
      </c>
      <c r="D18" s="23">
        <v>0</v>
      </c>
      <c r="E18" s="44">
        <f ca="1">E17</f>
        <v>44950</v>
      </c>
      <c r="F18" s="44">
        <f ca="1">E18+13</f>
        <v>44963</v>
      </c>
      <c r="G18" s="13"/>
      <c r="H18" s="13">
        <f t="shared" ca="1" si="6"/>
        <v>14</v>
      </c>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c r="AZ18" s="34"/>
      <c r="BA18" s="34"/>
      <c r="BB18" s="34"/>
      <c r="BC18" s="34"/>
      <c r="BD18" s="34"/>
      <c r="BE18" s="34"/>
      <c r="BF18" s="34"/>
      <c r="BG18" s="34"/>
      <c r="BH18" s="34"/>
      <c r="BI18" s="34"/>
      <c r="BJ18" s="34"/>
      <c r="BK18" s="34"/>
      <c r="BL18" s="34"/>
    </row>
    <row r="19" spans="1:64" s="3" customFormat="1" ht="30" customHeight="1" thickBot="1" x14ac:dyDescent="0.4">
      <c r="A19" s="37"/>
      <c r="B19" s="56" t="s">
        <v>38</v>
      </c>
      <c r="C19" s="50" t="s">
        <v>34</v>
      </c>
      <c r="D19" s="23">
        <v>0</v>
      </c>
      <c r="E19" s="44">
        <f ca="1">E17+1</f>
        <v>44951</v>
      </c>
      <c r="F19" s="44">
        <f ca="1">F17</f>
        <v>44963</v>
      </c>
      <c r="G19" s="13"/>
      <c r="H19" s="13">
        <f t="shared" ca="1" si="6"/>
        <v>13</v>
      </c>
      <c r="I19" s="34"/>
      <c r="J19" s="34"/>
      <c r="K19" s="34"/>
      <c r="L19" s="34"/>
      <c r="M19" s="34"/>
      <c r="N19" s="34"/>
      <c r="O19" s="34"/>
      <c r="P19" s="34"/>
      <c r="Q19" s="34"/>
      <c r="R19" s="34"/>
      <c r="S19" s="34"/>
      <c r="T19" s="34"/>
      <c r="U19" s="35"/>
      <c r="V19" s="35"/>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row>
    <row r="20" spans="1:64" s="3" customFormat="1" ht="30" customHeight="1" thickBot="1" x14ac:dyDescent="0.4">
      <c r="A20" s="37"/>
      <c r="B20" s="56" t="s">
        <v>39</v>
      </c>
      <c r="C20" s="50" t="s">
        <v>34</v>
      </c>
      <c r="D20" s="23">
        <v>0</v>
      </c>
      <c r="E20" s="44">
        <f t="shared" ref="E20:E22" ca="1" si="8">E19+1</f>
        <v>44952</v>
      </c>
      <c r="F20" s="44">
        <f t="shared" ref="F20:F22" ca="1" si="9">F19</f>
        <v>44963</v>
      </c>
      <c r="G20" s="13"/>
      <c r="H20" s="13">
        <f t="shared" ca="1" si="6"/>
        <v>12</v>
      </c>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c r="AZ20" s="34"/>
      <c r="BA20" s="34"/>
      <c r="BB20" s="34"/>
      <c r="BC20" s="34"/>
      <c r="BD20" s="34"/>
      <c r="BE20" s="34"/>
      <c r="BF20" s="34"/>
      <c r="BG20" s="34"/>
      <c r="BH20" s="34"/>
      <c r="BI20" s="34"/>
      <c r="BJ20" s="34"/>
      <c r="BK20" s="34"/>
      <c r="BL20" s="34"/>
    </row>
    <row r="21" spans="1:64" s="3" customFormat="1" ht="30" customHeight="1" thickBot="1" x14ac:dyDescent="0.4">
      <c r="A21" s="37"/>
      <c r="B21" s="56" t="s">
        <v>40</v>
      </c>
      <c r="C21" s="50" t="s">
        <v>34</v>
      </c>
      <c r="D21" s="23">
        <v>0</v>
      </c>
      <c r="E21" s="44">
        <f t="shared" ca="1" si="8"/>
        <v>44953</v>
      </c>
      <c r="F21" s="44">
        <f t="shared" ca="1" si="9"/>
        <v>44963</v>
      </c>
      <c r="G21" s="13"/>
      <c r="H21" s="13">
        <f t="shared" ca="1" si="6"/>
        <v>11</v>
      </c>
      <c r="I21" s="34"/>
      <c r="J21" s="34"/>
      <c r="K21" s="34"/>
      <c r="L21" s="34"/>
      <c r="M21" s="34"/>
      <c r="N21" s="34"/>
      <c r="O21" s="34"/>
      <c r="P21" s="34"/>
      <c r="Q21" s="34"/>
      <c r="R21" s="34"/>
      <c r="S21" s="34"/>
      <c r="T21" s="34"/>
      <c r="U21" s="34"/>
      <c r="V21" s="34"/>
      <c r="W21" s="34"/>
      <c r="X21" s="34"/>
      <c r="Y21" s="35"/>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row>
    <row r="22" spans="1:64" s="3" customFormat="1" ht="30" customHeight="1" thickBot="1" x14ac:dyDescent="0.4">
      <c r="A22" s="37"/>
      <c r="B22" s="56" t="s">
        <v>41</v>
      </c>
      <c r="C22" s="50" t="s">
        <v>34</v>
      </c>
      <c r="D22" s="23">
        <v>0</v>
      </c>
      <c r="E22" s="44">
        <f t="shared" ca="1" si="8"/>
        <v>44954</v>
      </c>
      <c r="F22" s="44">
        <f t="shared" ca="1" si="9"/>
        <v>44963</v>
      </c>
      <c r="G22" s="13"/>
      <c r="H22" s="13"/>
      <c r="I22" s="34"/>
      <c r="J22" s="34"/>
      <c r="K22" s="34"/>
      <c r="L22" s="34"/>
      <c r="M22" s="34"/>
      <c r="N22" s="34"/>
      <c r="O22" s="34"/>
      <c r="P22" s="34"/>
      <c r="Q22" s="34"/>
      <c r="R22" s="34"/>
      <c r="S22" s="34"/>
      <c r="T22" s="34"/>
      <c r="U22" s="34"/>
      <c r="V22" s="34"/>
      <c r="W22" s="34"/>
      <c r="X22" s="34"/>
      <c r="Y22" s="35"/>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row>
    <row r="23" spans="1:64" s="3" customFormat="1" ht="30" customHeight="1" thickBot="1" x14ac:dyDescent="0.4">
      <c r="A23" s="38"/>
      <c r="B23" s="56" t="s">
        <v>42</v>
      </c>
      <c r="C23" s="50" t="s">
        <v>32</v>
      </c>
      <c r="D23" s="23">
        <v>0</v>
      </c>
      <c r="E23" s="44">
        <f ca="1">E17</f>
        <v>44950</v>
      </c>
      <c r="F23" s="44">
        <f ca="1">E23+13</f>
        <v>44963</v>
      </c>
      <c r="G23" s="13"/>
      <c r="H23" s="13">
        <f t="shared" ca="1" si="6"/>
        <v>14</v>
      </c>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4"/>
      <c r="AM23" s="34"/>
      <c r="AN23" s="34"/>
      <c r="AO23" s="34"/>
      <c r="AP23" s="34"/>
      <c r="AQ23" s="34"/>
      <c r="AR23" s="34"/>
      <c r="AS23" s="34"/>
      <c r="AT23" s="34"/>
      <c r="AU23" s="34"/>
      <c r="AV23" s="34"/>
      <c r="AW23" s="34"/>
      <c r="AX23" s="34"/>
      <c r="AY23" s="34"/>
      <c r="AZ23" s="34"/>
      <c r="BA23" s="34"/>
      <c r="BB23" s="34"/>
      <c r="BC23" s="34"/>
      <c r="BD23" s="34"/>
      <c r="BE23" s="34"/>
      <c r="BF23" s="34"/>
      <c r="BG23" s="34"/>
      <c r="BH23" s="34"/>
      <c r="BI23" s="34"/>
      <c r="BJ23" s="34"/>
      <c r="BK23" s="34"/>
      <c r="BL23" s="34"/>
    </row>
    <row r="24" spans="1:64" s="3" customFormat="1" ht="30" customHeight="1" thickBot="1" x14ac:dyDescent="0.4">
      <c r="A24" s="37"/>
      <c r="B24" s="56" t="s">
        <v>43</v>
      </c>
      <c r="C24" s="50" t="s">
        <v>32</v>
      </c>
      <c r="D24" s="23">
        <v>0</v>
      </c>
      <c r="E24" s="44">
        <f ca="1">E23+1</f>
        <v>44951</v>
      </c>
      <c r="F24" s="44">
        <f ca="1">F23</f>
        <v>44963</v>
      </c>
      <c r="G24" s="13"/>
      <c r="H24" s="13">
        <f t="shared" ca="1" si="6"/>
        <v>13</v>
      </c>
      <c r="I24" s="34"/>
      <c r="J24" s="34"/>
      <c r="K24" s="34"/>
      <c r="L24" s="34"/>
      <c r="M24" s="34"/>
      <c r="N24" s="34"/>
      <c r="O24" s="34"/>
      <c r="P24" s="34"/>
      <c r="Q24" s="34"/>
      <c r="R24" s="34"/>
      <c r="S24" s="34"/>
      <c r="T24" s="34"/>
      <c r="U24" s="35"/>
      <c r="V24" s="35"/>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row>
    <row r="25" spans="1:64" s="3" customFormat="1" ht="30" customHeight="1" thickBot="1" x14ac:dyDescent="0.4">
      <c r="A25" s="37"/>
      <c r="B25" s="56" t="s">
        <v>44</v>
      </c>
      <c r="C25" s="50" t="s">
        <v>32</v>
      </c>
      <c r="D25" s="23">
        <v>0</v>
      </c>
      <c r="E25" s="44">
        <f t="shared" ref="E25:E27" ca="1" si="10">E24+1</f>
        <v>44952</v>
      </c>
      <c r="F25" s="44">
        <f t="shared" ref="F25:F27" ca="1" si="11">F24</f>
        <v>44963</v>
      </c>
      <c r="G25" s="13"/>
      <c r="H25" s="13">
        <f t="shared" ca="1" si="6"/>
        <v>12</v>
      </c>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row>
    <row r="26" spans="1:64" s="3" customFormat="1" ht="30" customHeight="1" thickBot="1" x14ac:dyDescent="0.4">
      <c r="A26" s="37"/>
      <c r="B26" s="56" t="s">
        <v>45</v>
      </c>
      <c r="C26" s="50" t="s">
        <v>32</v>
      </c>
      <c r="D26" s="23">
        <v>0</v>
      </c>
      <c r="E26" s="44">
        <f t="shared" ca="1" si="10"/>
        <v>44953</v>
      </c>
      <c r="F26" s="44">
        <f t="shared" ca="1" si="11"/>
        <v>44963</v>
      </c>
      <c r="G26" s="13"/>
      <c r="H26" s="13">
        <f t="shared" ca="1" si="6"/>
        <v>11</v>
      </c>
      <c r="I26" s="34"/>
      <c r="J26" s="34"/>
      <c r="K26" s="34"/>
      <c r="L26" s="34"/>
      <c r="M26" s="34"/>
      <c r="N26" s="34"/>
      <c r="O26" s="34"/>
      <c r="P26" s="34"/>
      <c r="Q26" s="34"/>
      <c r="R26" s="34"/>
      <c r="S26" s="34"/>
      <c r="T26" s="34"/>
      <c r="U26" s="34"/>
      <c r="V26" s="34"/>
      <c r="W26" s="34"/>
      <c r="X26" s="34"/>
      <c r="Y26" s="35"/>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row>
    <row r="27" spans="1:64" s="3" customFormat="1" ht="30" customHeight="1" thickBot="1" x14ac:dyDescent="0.4">
      <c r="A27" s="37"/>
      <c r="B27" s="56" t="s">
        <v>46</v>
      </c>
      <c r="C27" s="50" t="s">
        <v>32</v>
      </c>
      <c r="D27" s="23">
        <v>0</v>
      </c>
      <c r="E27" s="44">
        <f t="shared" ca="1" si="10"/>
        <v>44954</v>
      </c>
      <c r="F27" s="44">
        <f t="shared" ca="1" si="11"/>
        <v>44963</v>
      </c>
      <c r="G27" s="13"/>
      <c r="H27" s="13"/>
      <c r="I27" s="34"/>
      <c r="J27" s="34"/>
      <c r="K27" s="34"/>
      <c r="L27" s="34"/>
      <c r="M27" s="34"/>
      <c r="N27" s="34"/>
      <c r="O27" s="34"/>
      <c r="P27" s="34"/>
      <c r="Q27" s="34"/>
      <c r="R27" s="34"/>
      <c r="S27" s="34"/>
      <c r="T27" s="34"/>
      <c r="U27" s="34"/>
      <c r="V27" s="34"/>
      <c r="W27" s="34"/>
      <c r="X27" s="34"/>
      <c r="Y27" s="35"/>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c r="BK27" s="34"/>
      <c r="BL27" s="34"/>
    </row>
    <row r="28" spans="1:64" s="3" customFormat="1" ht="30" customHeight="1" thickBot="1" x14ac:dyDescent="0.4">
      <c r="A28" s="38"/>
      <c r="B28" s="56" t="s">
        <v>47</v>
      </c>
      <c r="C28" s="50" t="s">
        <v>33</v>
      </c>
      <c r="D28" s="23">
        <v>0</v>
      </c>
      <c r="E28" s="44">
        <f ca="1">E17</f>
        <v>44950</v>
      </c>
      <c r="F28" s="44">
        <f ca="1">E28+13</f>
        <v>44963</v>
      </c>
      <c r="G28" s="13"/>
      <c r="H28" s="13">
        <f t="shared" ca="1" si="6"/>
        <v>14</v>
      </c>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c r="BK28" s="34"/>
      <c r="BL28" s="34"/>
    </row>
    <row r="29" spans="1:64" s="3" customFormat="1" ht="30" customHeight="1" thickBot="1" x14ac:dyDescent="0.4">
      <c r="A29" s="37"/>
      <c r="B29" s="56" t="s">
        <v>48</v>
      </c>
      <c r="C29" s="50" t="s">
        <v>33</v>
      </c>
      <c r="D29" s="23">
        <v>0</v>
      </c>
      <c r="E29" s="44">
        <f ca="1">E28+1</f>
        <v>44951</v>
      </c>
      <c r="F29" s="44">
        <f ca="1">F28</f>
        <v>44963</v>
      </c>
      <c r="G29" s="13"/>
      <c r="H29" s="13">
        <f t="shared" ca="1" si="6"/>
        <v>13</v>
      </c>
      <c r="I29" s="34"/>
      <c r="J29" s="34"/>
      <c r="K29" s="34"/>
      <c r="L29" s="34"/>
      <c r="M29" s="34"/>
      <c r="N29" s="34"/>
      <c r="O29" s="34"/>
      <c r="P29" s="34"/>
      <c r="Q29" s="34"/>
      <c r="R29" s="34"/>
      <c r="S29" s="34"/>
      <c r="T29" s="34"/>
      <c r="U29" s="35"/>
      <c r="V29" s="35"/>
      <c r="W29" s="34"/>
      <c r="X29" s="34"/>
      <c r="Y29" s="34"/>
      <c r="Z29" s="34"/>
      <c r="AA29" s="34"/>
      <c r="AB29" s="34"/>
      <c r="AC29" s="34"/>
      <c r="AD29" s="34"/>
      <c r="AE29" s="34"/>
      <c r="AF29" s="34"/>
      <c r="AG29" s="34"/>
      <c r="AH29" s="34"/>
      <c r="AI29" s="34"/>
      <c r="AJ29" s="34"/>
      <c r="AK29" s="34"/>
      <c r="AL29" s="34"/>
      <c r="AM29" s="34"/>
      <c r="AN29" s="34"/>
      <c r="AO29" s="34"/>
      <c r="AP29" s="34"/>
      <c r="AQ29" s="34"/>
      <c r="AR29" s="34"/>
      <c r="AS29" s="34"/>
      <c r="AT29" s="34"/>
      <c r="AU29" s="34"/>
      <c r="AV29" s="34"/>
      <c r="AW29" s="34"/>
      <c r="AX29" s="34"/>
      <c r="AY29" s="34"/>
      <c r="AZ29" s="34"/>
      <c r="BA29" s="34"/>
      <c r="BB29" s="34"/>
      <c r="BC29" s="34"/>
      <c r="BD29" s="34"/>
      <c r="BE29" s="34"/>
      <c r="BF29" s="34"/>
      <c r="BG29" s="34"/>
      <c r="BH29" s="34"/>
      <c r="BI29" s="34"/>
      <c r="BJ29" s="34"/>
      <c r="BK29" s="34"/>
      <c r="BL29" s="34"/>
    </row>
    <row r="30" spans="1:64" s="3" customFormat="1" ht="30" customHeight="1" thickBot="1" x14ac:dyDescent="0.4">
      <c r="A30" s="37"/>
      <c r="B30" s="56" t="s">
        <v>49</v>
      </c>
      <c r="C30" s="50" t="s">
        <v>33</v>
      </c>
      <c r="D30" s="23">
        <v>0</v>
      </c>
      <c r="E30" s="44">
        <f t="shared" ref="E30:E32" ca="1" si="12">E29+1</f>
        <v>44952</v>
      </c>
      <c r="F30" s="44">
        <f t="shared" ref="F30:F32" ca="1" si="13">F29</f>
        <v>44963</v>
      </c>
      <c r="G30" s="13"/>
      <c r="H30" s="13">
        <f t="shared" ca="1" si="6"/>
        <v>12</v>
      </c>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c r="BK30" s="34"/>
      <c r="BL30" s="34"/>
    </row>
    <row r="31" spans="1:64" s="3" customFormat="1" ht="30" customHeight="1" thickBot="1" x14ac:dyDescent="0.4">
      <c r="A31" s="37"/>
      <c r="B31" s="56" t="s">
        <v>50</v>
      </c>
      <c r="C31" s="50" t="s">
        <v>33</v>
      </c>
      <c r="D31" s="23">
        <v>0</v>
      </c>
      <c r="E31" s="44">
        <f t="shared" ca="1" si="12"/>
        <v>44953</v>
      </c>
      <c r="F31" s="44">
        <f t="shared" ca="1" si="13"/>
        <v>44963</v>
      </c>
      <c r="G31" s="13"/>
      <c r="H31" s="13">
        <f t="shared" ca="1" si="6"/>
        <v>11</v>
      </c>
      <c r="I31" s="34"/>
      <c r="J31" s="34"/>
      <c r="K31" s="34"/>
      <c r="L31" s="34"/>
      <c r="M31" s="34"/>
      <c r="N31" s="34"/>
      <c r="O31" s="34"/>
      <c r="P31" s="34"/>
      <c r="Q31" s="34"/>
      <c r="R31" s="34"/>
      <c r="S31" s="34"/>
      <c r="T31" s="34"/>
      <c r="U31" s="34"/>
      <c r="V31" s="34"/>
      <c r="W31" s="34"/>
      <c r="X31" s="34"/>
      <c r="Y31" s="35"/>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c r="BK31" s="34"/>
      <c r="BL31" s="34"/>
    </row>
    <row r="32" spans="1:64" s="3" customFormat="1" ht="30" customHeight="1" thickBot="1" x14ac:dyDescent="0.4">
      <c r="A32" s="37"/>
      <c r="B32" s="56" t="s">
        <v>51</v>
      </c>
      <c r="C32" s="50" t="s">
        <v>33</v>
      </c>
      <c r="D32" s="23">
        <v>0</v>
      </c>
      <c r="E32" s="44">
        <f t="shared" ca="1" si="12"/>
        <v>44954</v>
      </c>
      <c r="F32" s="44">
        <f t="shared" ca="1" si="13"/>
        <v>44963</v>
      </c>
      <c r="G32" s="13"/>
      <c r="H32" s="13"/>
      <c r="I32" s="34"/>
      <c r="J32" s="34"/>
      <c r="K32" s="34"/>
      <c r="L32" s="34"/>
      <c r="M32" s="34"/>
      <c r="N32" s="34"/>
      <c r="O32" s="34"/>
      <c r="P32" s="34"/>
      <c r="Q32" s="34"/>
      <c r="R32" s="34"/>
      <c r="S32" s="34"/>
      <c r="T32" s="34"/>
      <c r="U32" s="34"/>
      <c r="V32" s="34"/>
      <c r="W32" s="34"/>
      <c r="X32" s="34"/>
      <c r="Y32" s="35"/>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c r="BK32" s="34"/>
      <c r="BL32" s="34"/>
    </row>
    <row r="33" spans="1:64" s="3" customFormat="1" ht="30" customHeight="1" thickBot="1" x14ac:dyDescent="0.4">
      <c r="A33" s="37" t="s">
        <v>9</v>
      </c>
      <c r="B33" s="24" t="s">
        <v>22</v>
      </c>
      <c r="C33" s="51"/>
      <c r="D33" s="25"/>
      <c r="E33" s="26"/>
      <c r="F33" s="27"/>
      <c r="G33" s="13"/>
      <c r="H33" s="13" t="str">
        <f t="shared" si="6"/>
        <v/>
      </c>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c r="BK33" s="34"/>
      <c r="BL33" s="34"/>
    </row>
    <row r="34" spans="1:64" s="3" customFormat="1" ht="30" customHeight="1" thickBot="1" x14ac:dyDescent="0.4">
      <c r="A34" s="37"/>
      <c r="B34" s="57" t="s">
        <v>56</v>
      </c>
      <c r="C34" s="52" t="s">
        <v>35</v>
      </c>
      <c r="D34" s="28"/>
      <c r="E34" s="45">
        <f ca="1">F32+1</f>
        <v>44964</v>
      </c>
      <c r="F34" s="45">
        <f ca="1">E34+20</f>
        <v>44984</v>
      </c>
      <c r="G34" s="13"/>
      <c r="H34" s="13">
        <f t="shared" ca="1" si="6"/>
        <v>21</v>
      </c>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row>
    <row r="35" spans="1:64" s="3" customFormat="1" ht="30" customHeight="1" thickBot="1" x14ac:dyDescent="0.4">
      <c r="A35" s="37"/>
      <c r="B35" s="57" t="s">
        <v>57</v>
      </c>
      <c r="C35" s="52" t="s">
        <v>35</v>
      </c>
      <c r="D35" s="28"/>
      <c r="E35" s="45">
        <f ca="1">E34</f>
        <v>44964</v>
      </c>
      <c r="F35" s="45">
        <f ca="1">E34+20</f>
        <v>44984</v>
      </c>
      <c r="G35" s="13"/>
      <c r="H35" s="13">
        <f t="shared" ca="1" si="6"/>
        <v>21</v>
      </c>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row>
    <row r="36" spans="1:64" s="3" customFormat="1" ht="30" customHeight="1" thickBot="1" x14ac:dyDescent="0.4">
      <c r="A36" s="37"/>
      <c r="B36" s="57" t="s">
        <v>55</v>
      </c>
      <c r="C36" s="52" t="s">
        <v>35</v>
      </c>
      <c r="D36" s="28"/>
      <c r="E36" s="45">
        <f ca="1">E35</f>
        <v>44964</v>
      </c>
      <c r="F36" s="45">
        <f ca="1">E34+20</f>
        <v>44984</v>
      </c>
      <c r="G36" s="13"/>
      <c r="H36" s="13">
        <f t="shared" ca="1" si="6"/>
        <v>21</v>
      </c>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c r="BI36" s="34"/>
      <c r="BJ36" s="34"/>
      <c r="BK36" s="34"/>
      <c r="BL36" s="34"/>
    </row>
    <row r="37" spans="1:64" s="3" customFormat="1" ht="30" customHeight="1" thickBot="1" x14ac:dyDescent="0.4">
      <c r="A37" s="37"/>
      <c r="B37" s="57" t="s">
        <v>58</v>
      </c>
      <c r="C37" s="52" t="s">
        <v>35</v>
      </c>
      <c r="D37" s="28"/>
      <c r="E37" s="45">
        <f ca="1">E36</f>
        <v>44964</v>
      </c>
      <c r="F37" s="45">
        <f ca="1">E34+20</f>
        <v>44984</v>
      </c>
      <c r="G37" s="13"/>
      <c r="H37" s="13">
        <f t="shared" ca="1" si="6"/>
        <v>21</v>
      </c>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row>
    <row r="38" spans="1:64" s="3" customFormat="1" ht="30" customHeight="1" thickBot="1" x14ac:dyDescent="0.4">
      <c r="A38" s="37"/>
      <c r="B38" s="57" t="s">
        <v>59</v>
      </c>
      <c r="C38" s="52" t="s">
        <v>35</v>
      </c>
      <c r="D38" s="28"/>
      <c r="E38" s="45">
        <f ca="1">E37</f>
        <v>44964</v>
      </c>
      <c r="F38" s="45">
        <f ca="1">E34+20</f>
        <v>44984</v>
      </c>
      <c r="G38" s="13"/>
      <c r="H38" s="13">
        <f t="shared" ca="1" si="6"/>
        <v>21</v>
      </c>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c r="BK38" s="34"/>
      <c r="BL38" s="34"/>
    </row>
    <row r="39" spans="1:64" s="3" customFormat="1" ht="30" customHeight="1" thickBot="1" x14ac:dyDescent="0.4">
      <c r="A39" s="37" t="s">
        <v>9</v>
      </c>
      <c r="B39" s="29" t="s">
        <v>23</v>
      </c>
      <c r="C39" s="53"/>
      <c r="D39" s="30"/>
      <c r="E39" s="31"/>
      <c r="F39" s="32"/>
      <c r="G39" s="13"/>
      <c r="H39" s="13" t="str">
        <f t="shared" si="6"/>
        <v/>
      </c>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c r="BI39" s="34"/>
      <c r="BJ39" s="34"/>
      <c r="BK39" s="34"/>
      <c r="BL39" s="34"/>
    </row>
    <row r="40" spans="1:64" s="3" customFormat="1" ht="30" customHeight="1" thickBot="1" x14ac:dyDescent="0.4">
      <c r="A40" s="37"/>
      <c r="B40" s="58" t="s">
        <v>59</v>
      </c>
      <c r="C40" s="54" t="s">
        <v>35</v>
      </c>
      <c r="D40" s="33"/>
      <c r="E40" s="46">
        <f ca="1">F38+1</f>
        <v>44985</v>
      </c>
      <c r="F40" s="46">
        <f ca="1">E40+20</f>
        <v>45005</v>
      </c>
      <c r="G40" s="13"/>
      <c r="H40" s="13">
        <f t="shared" ca="1" si="6"/>
        <v>21</v>
      </c>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row>
    <row r="41" spans="1:64" s="3" customFormat="1" ht="30" customHeight="1" thickBot="1" x14ac:dyDescent="0.4">
      <c r="A41" s="37"/>
      <c r="B41" s="58" t="s">
        <v>60</v>
      </c>
      <c r="C41" s="54" t="s">
        <v>34</v>
      </c>
      <c r="D41" s="33"/>
      <c r="E41" s="46">
        <f ca="1">E$40</f>
        <v>44985</v>
      </c>
      <c r="F41" s="46">
        <f t="shared" ref="F41:F47" ca="1" si="14">E41+20</f>
        <v>45005</v>
      </c>
      <c r="G41" s="13"/>
      <c r="H41" s="13">
        <f t="shared" ca="1" si="6"/>
        <v>21</v>
      </c>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row>
    <row r="42" spans="1:64" s="3" customFormat="1" ht="30" customHeight="1" thickBot="1" x14ac:dyDescent="0.4">
      <c r="A42" s="37"/>
      <c r="B42" s="58" t="s">
        <v>61</v>
      </c>
      <c r="C42" s="54" t="s">
        <v>34</v>
      </c>
      <c r="D42" s="33"/>
      <c r="E42" s="46">
        <f ca="1">E$40+4</f>
        <v>44989</v>
      </c>
      <c r="F42" s="46">
        <f ca="1">E42+16</f>
        <v>45005</v>
      </c>
      <c r="G42" s="13"/>
      <c r="H42" s="13">
        <f t="shared" ca="1" si="6"/>
        <v>17</v>
      </c>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row>
    <row r="43" spans="1:64" s="3" customFormat="1" ht="30" customHeight="1" thickBot="1" x14ac:dyDescent="0.4">
      <c r="A43" s="37"/>
      <c r="B43" s="58" t="s">
        <v>62</v>
      </c>
      <c r="C43" s="54" t="s">
        <v>34</v>
      </c>
      <c r="D43" s="33"/>
      <c r="E43" s="46">
        <f ca="1">E$42+4</f>
        <v>44993</v>
      </c>
      <c r="F43" s="46">
        <f ca="1">E43+12</f>
        <v>45005</v>
      </c>
      <c r="G43" s="13"/>
      <c r="H43" s="13">
        <f t="shared" ca="1" si="6"/>
        <v>13</v>
      </c>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c r="BK43" s="34"/>
      <c r="BL43" s="34"/>
    </row>
    <row r="44" spans="1:64" s="3" customFormat="1" ht="30" customHeight="1" thickBot="1" x14ac:dyDescent="0.4">
      <c r="A44" s="37"/>
      <c r="B44" s="58" t="s">
        <v>63</v>
      </c>
      <c r="C44" s="54" t="s">
        <v>32</v>
      </c>
      <c r="D44" s="33"/>
      <c r="E44" s="46">
        <f ca="1">E$40</f>
        <v>44985</v>
      </c>
      <c r="F44" s="46">
        <f t="shared" ca="1" si="14"/>
        <v>45005</v>
      </c>
      <c r="G44" s="13"/>
      <c r="H44" s="13">
        <f t="shared" ca="1" si="6"/>
        <v>21</v>
      </c>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c r="BK44" s="34"/>
      <c r="BL44" s="34"/>
    </row>
    <row r="45" spans="1:64" s="3" customFormat="1" ht="30" customHeight="1" thickBot="1" x14ac:dyDescent="0.4">
      <c r="A45" s="37"/>
      <c r="B45" s="58" t="s">
        <v>64</v>
      </c>
      <c r="C45" s="54" t="s">
        <v>32</v>
      </c>
      <c r="D45" s="33"/>
      <c r="E45" s="46">
        <f ca="1">E$40+4</f>
        <v>44989</v>
      </c>
      <c r="F45" s="46">
        <f ca="1">E45+16</f>
        <v>45005</v>
      </c>
      <c r="G45" s="13"/>
      <c r="H45" s="13">
        <f t="shared" ca="1" si="6"/>
        <v>17</v>
      </c>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c r="BK45" s="34"/>
      <c r="BL45" s="34"/>
    </row>
    <row r="46" spans="1:64" s="3" customFormat="1" ht="30" customHeight="1" thickBot="1" x14ac:dyDescent="0.4">
      <c r="A46" s="37"/>
      <c r="B46" s="58" t="s">
        <v>65</v>
      </c>
      <c r="C46" s="54" t="s">
        <v>32</v>
      </c>
      <c r="D46" s="33"/>
      <c r="E46" s="46">
        <f ca="1">E$42+4</f>
        <v>44993</v>
      </c>
      <c r="F46" s="46">
        <f ca="1">E46+12</f>
        <v>45005</v>
      </c>
      <c r="G46" s="13"/>
      <c r="H46" s="13">
        <f t="shared" ca="1" si="6"/>
        <v>13</v>
      </c>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c r="BK46" s="34"/>
      <c r="BL46" s="34"/>
    </row>
    <row r="47" spans="1:64" s="3" customFormat="1" ht="30" customHeight="1" thickBot="1" x14ac:dyDescent="0.4">
      <c r="A47" s="37"/>
      <c r="B47" s="58" t="s">
        <v>66</v>
      </c>
      <c r="C47" s="54" t="s">
        <v>33</v>
      </c>
      <c r="D47" s="33"/>
      <c r="E47" s="46">
        <f ca="1">E$40</f>
        <v>44985</v>
      </c>
      <c r="F47" s="46">
        <f t="shared" ca="1" si="14"/>
        <v>45005</v>
      </c>
      <c r="G47" s="13"/>
      <c r="H47" s="13">
        <f t="shared" ca="1" si="6"/>
        <v>21</v>
      </c>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c r="BK47" s="34"/>
      <c r="BL47" s="34"/>
    </row>
    <row r="48" spans="1:64" s="3" customFormat="1" ht="30" customHeight="1" thickBot="1" x14ac:dyDescent="0.4">
      <c r="A48" s="37"/>
      <c r="B48" s="58" t="s">
        <v>67</v>
      </c>
      <c r="C48" s="54" t="s">
        <v>33</v>
      </c>
      <c r="D48" s="33"/>
      <c r="E48" s="46">
        <f ca="1">E$40+4</f>
        <v>44989</v>
      </c>
      <c r="F48" s="46">
        <f ca="1">E48+16</f>
        <v>45005</v>
      </c>
      <c r="G48" s="13"/>
      <c r="H48" s="13">
        <f t="shared" ca="1" si="6"/>
        <v>17</v>
      </c>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c r="BI48" s="34"/>
      <c r="BJ48" s="34"/>
      <c r="BK48" s="34"/>
      <c r="BL48" s="34"/>
    </row>
    <row r="49" spans="1:64" s="3" customFormat="1" ht="30" customHeight="1" thickBot="1" x14ac:dyDescent="0.4">
      <c r="A49" s="37"/>
      <c r="B49" s="58" t="s">
        <v>68</v>
      </c>
      <c r="C49" s="54" t="s">
        <v>33</v>
      </c>
      <c r="D49" s="33"/>
      <c r="E49" s="46">
        <f ca="1">E$42+4</f>
        <v>44993</v>
      </c>
      <c r="F49" s="46">
        <f ca="1">E49+12</f>
        <v>45005</v>
      </c>
      <c r="G49" s="13"/>
      <c r="H49" s="13">
        <f t="shared" ca="1" si="6"/>
        <v>13</v>
      </c>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c r="BI49" s="34"/>
      <c r="BJ49" s="34"/>
      <c r="BK49" s="34"/>
      <c r="BL49" s="34"/>
    </row>
    <row r="50" spans="1:64" s="3" customFormat="1" ht="30" customHeight="1" thickBot="1" x14ac:dyDescent="0.4">
      <c r="A50" s="37" t="s">
        <v>9</v>
      </c>
      <c r="B50" s="62" t="s">
        <v>24</v>
      </c>
      <c r="C50" s="63" t="s">
        <v>35</v>
      </c>
      <c r="D50" s="64"/>
      <c r="E50" s="65">
        <f ca="1">F49+1</f>
        <v>45006</v>
      </c>
      <c r="F50" s="66">
        <f ca="1">E50+20</f>
        <v>45026</v>
      </c>
      <c r="G50" s="13"/>
      <c r="H50" s="13">
        <f t="shared" ca="1" si="6"/>
        <v>21</v>
      </c>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c r="BI50" s="34"/>
      <c r="BJ50" s="34"/>
      <c r="BK50" s="34"/>
      <c r="BL50" s="34"/>
    </row>
    <row r="51" spans="1:64" s="3" customFormat="1" ht="30" customHeight="1" thickBot="1" x14ac:dyDescent="0.4">
      <c r="A51" s="37"/>
      <c r="B51" s="67" t="s">
        <v>69</v>
      </c>
      <c r="C51" s="63" t="s">
        <v>35</v>
      </c>
      <c r="D51" s="64"/>
      <c r="E51" s="68">
        <f ca="1">E50</f>
        <v>45006</v>
      </c>
      <c r="F51" s="66">
        <f t="shared" ref="F51:F55" ca="1" si="15">E51+20</f>
        <v>45026</v>
      </c>
      <c r="G51" s="13"/>
      <c r="H51" s="13">
        <f t="shared" ca="1" si="6"/>
        <v>21</v>
      </c>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row>
    <row r="52" spans="1:64" s="3" customFormat="1" ht="30" customHeight="1" thickBot="1" x14ac:dyDescent="0.4">
      <c r="A52" s="37"/>
      <c r="B52" s="67" t="s">
        <v>70</v>
      </c>
      <c r="C52" s="63" t="s">
        <v>35</v>
      </c>
      <c r="D52" s="64"/>
      <c r="E52" s="68">
        <f t="shared" ref="E52:E53" ca="1" si="16">E51</f>
        <v>45006</v>
      </c>
      <c r="F52" s="66">
        <f t="shared" ca="1" si="15"/>
        <v>45026</v>
      </c>
      <c r="G52" s="13"/>
      <c r="H52" s="13">
        <f t="shared" ca="1" si="6"/>
        <v>21</v>
      </c>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row>
    <row r="53" spans="1:64" s="3" customFormat="1" ht="30" customHeight="1" thickBot="1" x14ac:dyDescent="0.4">
      <c r="A53" s="37"/>
      <c r="B53" s="67" t="s">
        <v>71</v>
      </c>
      <c r="C53" s="63" t="s">
        <v>35</v>
      </c>
      <c r="D53" s="64"/>
      <c r="E53" s="68">
        <f t="shared" ca="1" si="16"/>
        <v>45006</v>
      </c>
      <c r="F53" s="66">
        <f t="shared" ca="1" si="15"/>
        <v>45026</v>
      </c>
      <c r="G53" s="13"/>
      <c r="H53" s="13">
        <f t="shared" ca="1" si="6"/>
        <v>21</v>
      </c>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c r="BI53" s="34"/>
      <c r="BJ53" s="34"/>
      <c r="BK53" s="34"/>
      <c r="BL53" s="34"/>
    </row>
    <row r="54" spans="1:64" s="3" customFormat="1" ht="30" customHeight="1" thickBot="1" x14ac:dyDescent="0.4">
      <c r="A54" s="37"/>
      <c r="B54" s="67" t="s">
        <v>72</v>
      </c>
      <c r="C54" s="63" t="s">
        <v>35</v>
      </c>
      <c r="D54" s="64"/>
      <c r="E54" s="68">
        <f ca="1">E53+6</f>
        <v>45012</v>
      </c>
      <c r="F54" s="66">
        <f ca="1">E54+14</f>
        <v>45026</v>
      </c>
      <c r="G54" s="13"/>
      <c r="H54" s="13">
        <f t="shared" ca="1" si="6"/>
        <v>15</v>
      </c>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c r="BI54" s="34"/>
      <c r="BJ54" s="34"/>
      <c r="BK54" s="34"/>
      <c r="BL54" s="34"/>
    </row>
    <row r="55" spans="1:64" s="3" customFormat="1" ht="30" customHeight="1" thickBot="1" x14ac:dyDescent="0.4">
      <c r="A55" s="37"/>
      <c r="B55" s="67" t="s">
        <v>59</v>
      </c>
      <c r="C55" s="63" t="s">
        <v>35</v>
      </c>
      <c r="D55" s="64"/>
      <c r="E55" s="68">
        <f ca="1">E50</f>
        <v>45006</v>
      </c>
      <c r="F55" s="66">
        <f t="shared" ca="1" si="15"/>
        <v>45026</v>
      </c>
      <c r="G55" s="13"/>
      <c r="H55" s="13">
        <f t="shared" ca="1" si="6"/>
        <v>21</v>
      </c>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c r="BI55" s="34"/>
      <c r="BJ55" s="34"/>
      <c r="BK55" s="34"/>
      <c r="BL55" s="34"/>
    </row>
  </sheetData>
  <mergeCells count="11">
    <mergeCell ref="C3:D3"/>
    <mergeCell ref="C4:D4"/>
    <mergeCell ref="AK4:AQ4"/>
    <mergeCell ref="AR4:AX4"/>
    <mergeCell ref="AY4:BE4"/>
    <mergeCell ref="BF4:BL4"/>
    <mergeCell ref="E3:F3"/>
    <mergeCell ref="I4:O4"/>
    <mergeCell ref="P4:V4"/>
    <mergeCell ref="W4:AC4"/>
    <mergeCell ref="AD4:AJ4"/>
  </mergeCells>
  <conditionalFormatting sqref="D7:D55">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55">
    <cfRule type="expression" dxfId="2" priority="33">
      <formula>AND(TODAY()&gt;=I$5,TODAY()&lt;J$5)</formula>
    </cfRule>
  </conditionalFormatting>
  <conditionalFormatting sqref="I7:BL55">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Display Week" prompt="Changing this number will scroll the Gantt Chart view." sqref="E4" xr:uid="{00000000-0002-0000-0000-000000000000}">
      <formula1>1</formula1>
    </dataValidation>
  </dataValidations>
  <printOptions horizontalCentered="1"/>
  <pageMargins left="0.35" right="0.35" top="0.35" bottom="0.5" header="0.3" footer="0.3"/>
  <pageSetup scale="57" fitToHeight="0" orientation="landscape" r:id="rId1"/>
  <headerFooter differentFirst="1" scaleWithDoc="0">
    <oddFooter>Page &amp;P of &amp;N</oddFooter>
  </headerFooter>
  <ignoredErrors>
    <ignoredError sqref="E23:F23 E28:F28"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D7:D55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emplate>TM16400962</Template>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6</vt:i4>
      </vt:variant>
    </vt:vector>
  </HeadingPairs>
  <TitlesOfParts>
    <vt:vector size="7" baseType="lpstr">
      <vt:lpstr>ProjectSchedule</vt:lpstr>
      <vt:lpstr>Display_Week</vt:lpstr>
      <vt:lpstr>ProjectSchedule!Print_Titles</vt:lpstr>
      <vt:lpstr>Project_Start</vt:lpstr>
      <vt:lpstr>ProjectSchedule!task_end</vt:lpstr>
      <vt:lpstr>ProjectSchedule!task_progress</vt:lpstr>
      <vt:lpstr>ProjectSchedule!task_start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2022-03-11T22:40:12Z</dcterms:created>
  <dcterms:modified xsi:type="dcterms:W3CDTF">2023-01-23T19:40:09Z</dcterms:modified>
</cp:coreProperties>
</file>